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Native Advanced" sheetId="2" r:id="rId2"/>
    <sheet name="10Y Advanced" sheetId="3" r:id="rId3"/>
    <sheet name="Native CFO" sheetId="4" r:id="rId4"/>
    <sheet name="10Y CFO" sheetId="5" r:id="rId5"/>
    <sheet name="Actual FY reference" sheetId="6" r:id="rId6"/>
  </sheets>
  <calcPr calcId="0" fullCalcOnLoad="1" forceFullCalc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numFmtId="0"/>
    <xf numFmtId="1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54" customWidth="1"/>
    <col min="2" max="30" width="22" customWidth="1"/>
  </cols>
  <sheetData>
    <row r="1">
      <c r="A1" s="0" t="inlineStr">
        <is>
          <t xml:space="preserve">FMP original API vs site ten-year calculation workbook</t>
        </is>
      </c>
    </row>
    <row r="2">
      <c r="A2" s="0" t="inlineStr">
        <is>
          <t xml:space="preserve">Native tabs</t>
        </is>
      </c>
      <c r="B2" s="0" t="inlineStr">
        <is>
          <t xml:space="preserve">Unmodified API data and explicit reconciliation checks. FMP internals/discount dates are not independently certified.</t>
        </is>
      </c>
    </row>
    <row r="3">
      <c r="A3" s="0" t="inlineStr">
        <is>
          <t xml:space="preserve">Scenario tabs</t>
        </is>
      </c>
      <c r="B3" s="0" t="inlineStr">
        <is>
          <t xml:space="preserve">Site formula-based ten-year models. Change numeric assumptions; Excel recalculates formulas on opening.</t>
        </is>
      </c>
    </row>
    <row r="4">
      <c r="A4" s="0" t="inlineStr">
        <is>
          <t xml:space="preserve">Precision</t>
        </is>
      </c>
      <c r="B4" s="0" t="inlineStr">
        <is>
          <t xml:space="preserve">Full source precision retained. Percentages format to 2dp without rounding calculations. Rates are stored as fractions in scenario tabs.</t>
        </is>
      </c>
    </row>
    <row r="5">
      <c r="A5" s="0" t="inlineStr">
        <is>
          <t xml:space="preserve">CAPM</t>
        </is>
      </c>
      <c r="B5" s="0" t="inlineStr">
        <is>
          <t xml:space="preserve">Initial Ke retained until rf/beta/erp change. Optional Ke override has precedence. EBIT derives from EBITDA less DA.</t>
        </is>
      </c>
    </row>
    <row r="6">
      <c r="A6" s="0" t="inlineStr">
        <is>
          <t xml:space="preserve">Forecast origin</t>
        </is>
      </c>
      <c r="B6" s="0" t="inlineStr">
        <is>
          <t xml:space="preserve">Scenario columns distinguish vendor projection years from standard extensions, with per-field origins. Extensions are not analyst consensus.</t>
        </is>
      </c>
    </row>
    <row r="7">
      <c r="A7" s="0" t="inlineStr">
        <is>
          <t xml:space="preserve">Actual reference</t>
        </is>
      </c>
      <c r="B7" s="0" t="inlineStr">
        <is>
          <t xml:space="preserve">Reference only; exact annual financial period, not fabricated TTM. Actual balances are FY-end snapshots. Capital costs/beta unavailable as reported actuals.</t>
        </is>
      </c>
    </row>
    <row r="8">
      <c r="A8" s="0" t="inlineStr">
        <is>
          <t xml:space="preserve">Currency</t>
        </is>
      </c>
      <c r="B8" s="0" t="inlineStr">
        <is>
          <t xml:space="preserve">Financial actuals use historical FX; FMP model baseline may use spot FX. Do not mix annual actual values into model baseline without review.</t>
        </is>
      </c>
    </row>
    <row r="9">
      <c r="A9" s="0" t="inlineStr">
        <is>
          <t xml:space="preserve">CFO method</t>
        </is>
      </c>
      <c r="B9" s="0" t="inlineStr">
        <is>
          <t xml:space="preserve">CFO+negative CapEx with vendor-style WACC/EV less debt, NOT independently defined FCFE discounted at Ke.</t>
        </is>
      </c>
    </row>
    <row r="10">
      <c r="A10" s="0" t="inlineStr">
        <is>
          <t xml:space="preserve">Limitations</t>
        </is>
      </c>
      <c r="B10" s="0" t="inlineStr">
        <is>
          <t xml:space="preserve">Gordon growth uses year-ten cash flow, WACC and annual growth; negative terminal cash flow/equity is retained for review, not a reliable positive going-concern price.</t>
        </is>
      </c>
    </row>
    <row r="11">
      <c r="A11" s="0" t="inlineStr">
        <is>
          <t xml:space="preserve">Tax</t>
        </is>
      </c>
      <c r="B11" s="0" t="inlineStr">
        <is>
          <t xml:space="preserve">Historical effective tax is not forecast operating tax. Scenario operating tax is also used in the debt tax shield. No separate loss-carryforward engine.</t>
        </is>
      </c>
    </row>
    <row r="12">
      <c r="A12" s="0" t="inlineStr">
        <is>
          <t xml:space="preserve">Editing limits</t>
        </is>
      </c>
      <c r="B12" s="0" t="inlineStr">
        <is>
          <t xml:space="preserve">Use valid numeric assumptions. The workbook is a transparent calculation template, not the website's full input-validation UI. Terminal WACC &lt;= growth returns #N/A.</t>
        </is>
      </c>
    </row>
    <row r="13">
      <c r="A13" s="0" t="inlineStr">
        <is>
          <t xml:space="preserve">Save/deployment</t>
        </is>
      </c>
      <c r="B13" s="0" t="inlineStr">
        <is>
          <t xml:space="preserve">Workbook editing does not save website targets or deploy any changes. JSON preserves full provenance and assumptions.</t>
        </is>
      </c>
    </row>
    <row r="14">
      <c r="A14" s="0" t="inlineStr">
        <is>
          <t xml:space="preserve">Audit</t>
        </is>
      </c>
      <c r="B14" s="0" t="inlineStr">
        <is>
          <t xml:space="preserve">{"auditedScenarios": 2, "maxMonetaryDifference": "0.00001894451499143406378215423307", "maxPerShareDifference": "7.253805205277217521851784130E-15", "tolerance": "0.01 currency units; 1e-8 per share; 1e-12 WACC/discount factor"}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54" customWidth="1"/>
    <col min="2" max="30" width="22" customWidth="1"/>
  </cols>
  <sheetData>
    <row r="1">
      <c r="A1" s="0" t="inlineStr">
        <is>
          <t xml:space="preserve">0823.HK: ORIGINAL FMP API advanced</t>
        </is>
      </c>
    </row>
    <row r="2">
      <c r="A2" s="0" t="inlineStr">
        <is>
          <t xml:space="preserve">Raw API units retained. WACC/rate fields are percentage points; amount ratio fields retain API units.</t>
        </is>
      </c>
    </row>
    <row r="3">
      <c r="A3" s="0" t="inlineStr">
        <is>
          <t xml:space="preserve">Source captured</t>
        </is>
      </c>
      <c r="B3" s="0" t="inlineStr">
        <is>
          <t xml:space="preserve">2026-10-18T06:56:02.514Z</t>
        </is>
      </c>
    </row>
    <row r="4">
      <c r="A4" s="0" t="inlineStr">
        <is>
          <t xml:space="preserve">Model year (NOT point-in-time history)</t>
        </is>
      </c>
      <c r="B4" s="0" t="inlineStr">
        <is>
          <t xml:space="preserve">2022</t>
        </is>
      </c>
      <c r="C4" s="0" t="inlineStr">
        <is>
          <t xml:space="preserve">2023</t>
        </is>
      </c>
      <c r="D4" s="0" t="inlineStr">
        <is>
          <t xml:space="preserve">2024</t>
        </is>
      </c>
      <c r="E4" s="0" t="inlineStr">
        <is>
          <t xml:space="preserve">2025</t>
        </is>
      </c>
      <c r="F4" s="0" t="inlineStr">
        <is>
          <t xml:space="preserve">2026</t>
        </is>
      </c>
      <c r="G4" s="0" t="inlineStr">
        <is>
          <t xml:space="preserve">2027</t>
        </is>
      </c>
      <c r="H4" s="0" t="inlineStr">
        <is>
          <t xml:space="preserve">2028</t>
        </is>
      </c>
      <c r="I4" s="0" t="inlineStr">
        <is>
          <t xml:space="preserve">2029</t>
        </is>
      </c>
      <c r="J4" s="0" t="inlineStr">
        <is>
          <t xml:space="preserve">2030</t>
        </is>
      </c>
      <c r="K4" s="0" t="inlineStr">
        <is>
          <t xml:space="preserve">2031</t>
        </is>
      </c>
    </row>
    <row r="5">
      <c r="A5" s="0" t="inlineStr">
        <is>
          <t xml:space="preserve">symbol</t>
        </is>
      </c>
      <c r="B5" s="0" t="inlineStr">
        <is>
          <t xml:space="preserve">0823.HK</t>
        </is>
      </c>
      <c r="C5" s="0" t="inlineStr">
        <is>
          <t xml:space="preserve">0823.HK</t>
        </is>
      </c>
      <c r="D5" s="0" t="inlineStr">
        <is>
          <t xml:space="preserve">0823.HK</t>
        </is>
      </c>
      <c r="E5" s="0" t="inlineStr">
        <is>
          <t xml:space="preserve">0823.HK</t>
        </is>
      </c>
      <c r="F5" s="0" t="inlineStr">
        <is>
          <t xml:space="preserve">0823.HK</t>
        </is>
      </c>
      <c r="G5" s="0" t="inlineStr">
        <is>
          <t xml:space="preserve">0823.HK</t>
        </is>
      </c>
      <c r="H5" s="0" t="inlineStr">
        <is>
          <t xml:space="preserve">0823.HK</t>
        </is>
      </c>
      <c r="I5" s="0" t="inlineStr">
        <is>
          <t xml:space="preserve">0823.HK</t>
        </is>
      </c>
      <c r="J5" s="0" t="inlineStr">
        <is>
          <t xml:space="preserve">0823.HK</t>
        </is>
      </c>
      <c r="K5" s="0" t="inlineStr">
        <is>
          <t xml:space="preserve">0823.HK</t>
        </is>
      </c>
    </row>
    <row r="6">
      <c r="A6" s="0" t="inlineStr">
        <is>
          <t xml:space="preserve">revenue</t>
        </is>
      </c>
      <c r="B6" s="0">
        <v>11689000000</v>
      </c>
      <c r="C6" s="0">
        <v>12340000000</v>
      </c>
      <c r="D6" s="0">
        <v>13578000000</v>
      </c>
      <c r="E6" s="0">
        <v>14223000000</v>
      </c>
      <c r="F6" s="0">
        <v>14003000000</v>
      </c>
      <c r="G6" s="0">
        <v>13866141191</v>
      </c>
      <c r="H6" s="0">
        <v>13780510888</v>
      </c>
      <c r="I6" s="0">
        <v>13726738741</v>
      </c>
      <c r="J6" s="0">
        <v>13692894902</v>
      </c>
      <c r="K6" s="0">
        <v>13671563091</v>
      </c>
    </row>
    <row r="7">
      <c r="A7" s="0" t="inlineStr">
        <is>
          <t xml:space="preserve">revenuePercentage</t>
        </is>
      </c>
      <c r="B7" s="0">
        <v>0</v>
      </c>
      <c r="C7" s="0">
        <v>5.57</v>
      </c>
      <c r="D7" s="0">
        <v>10.03</v>
      </c>
      <c r="E7" s="0">
        <v>4.75</v>
      </c>
      <c r="F7" s="0">
        <v>-1.55</v>
      </c>
      <c r="G7" s="0">
        <v>-0.97735</v>
      </c>
      <c r="H7" s="0">
        <v>-0.61755</v>
      </c>
      <c r="I7" s="0">
        <v>-0.3902</v>
      </c>
      <c r="J7" s="0">
        <v>-0.24655</v>
      </c>
      <c r="K7" s="0">
        <v>-0.15579</v>
      </c>
    </row>
    <row r="8">
      <c r="A8" s="0" t="inlineStr">
        <is>
          <t xml:space="preserve">ebitda</t>
        </is>
      </c>
      <c r="B8" s="0">
        <v>9152000000</v>
      </c>
      <c r="C8" s="0">
        <v>17985000000</v>
      </c>
      <c r="D8" s="0">
        <v>1402000000</v>
      </c>
      <c r="E8" s="0">
        <v>-6656000000</v>
      </c>
      <c r="F8" s="0">
        <v>-4792000000</v>
      </c>
      <c r="G8" s="0">
        <v>2984067940</v>
      </c>
      <c r="H8" s="0">
        <v>2965639839</v>
      </c>
      <c r="I8" s="0">
        <v>2954067785</v>
      </c>
      <c r="J8" s="0">
        <v>2946784409</v>
      </c>
      <c r="K8" s="0">
        <v>2942193689</v>
      </c>
    </row>
    <row r="9">
      <c r="A9" s="0" t="inlineStr">
        <is>
          <t xml:space="preserve">ebitdaPercentage</t>
        </is>
      </c>
      <c r="B9" s="0">
        <v>78.3</v>
      </c>
      <c r="C9" s="0">
        <v>145.75</v>
      </c>
      <c r="D9" s="0">
        <v>10.33</v>
      </c>
      <c r="E9" s="0">
        <v>-46.8</v>
      </c>
      <c r="F9" s="0">
        <v>-34.22</v>
      </c>
      <c r="G9" s="0">
        <v>21.52</v>
      </c>
      <c r="H9" s="0">
        <v>21.52</v>
      </c>
      <c r="I9" s="0">
        <v>21.52</v>
      </c>
      <c r="J9" s="0">
        <v>21.52</v>
      </c>
      <c r="K9" s="0">
        <v>21.52</v>
      </c>
    </row>
    <row r="10">
      <c r="A10" s="0" t="inlineStr">
        <is>
          <t xml:space="preserve">ebit</t>
        </is>
      </c>
      <c r="B10" s="0">
        <v>9068000000</v>
      </c>
      <c r="C10" s="0">
        <v>17891000000</v>
      </c>
      <c r="D10" s="0">
        <v>1308000000</v>
      </c>
      <c r="E10" s="0">
        <v>-6742000000</v>
      </c>
      <c r="F10" s="0">
        <v>-4882000000</v>
      </c>
      <c r="G10" s="0">
        <v>2910347364</v>
      </c>
      <c r="H10" s="0">
        <v>2892374525</v>
      </c>
      <c r="I10" s="0">
        <v>2881088355</v>
      </c>
      <c r="J10" s="0">
        <v>2873984913</v>
      </c>
      <c r="K10" s="0">
        <v>2869507606</v>
      </c>
    </row>
    <row r="11">
      <c r="A11" s="0" t="inlineStr">
        <is>
          <t xml:space="preserve">ebitPercentage</t>
        </is>
      </c>
      <c r="B11" s="0">
        <v>77.58</v>
      </c>
      <c r="C11" s="0">
        <v>144.98</v>
      </c>
      <c r="D11" s="0">
        <v>9.63</v>
      </c>
      <c r="E11" s="0">
        <v>-47.4</v>
      </c>
      <c r="F11" s="0">
        <v>-34.86</v>
      </c>
      <c r="G11" s="0">
        <v>20.99</v>
      </c>
      <c r="H11" s="0">
        <v>20.99</v>
      </c>
      <c r="I11" s="0">
        <v>20.99</v>
      </c>
      <c r="J11" s="0">
        <v>20.99</v>
      </c>
      <c r="K11" s="0">
        <v>20.99</v>
      </c>
    </row>
    <row r="12">
      <c r="A12" s="0" t="inlineStr">
        <is>
          <t xml:space="preserve">depreciation</t>
        </is>
      </c>
      <c r="B12" s="0">
        <v>84000000</v>
      </c>
      <c r="C12" s="0">
        <v>94000000</v>
      </c>
      <c r="D12" s="0">
        <v>94000000</v>
      </c>
      <c r="E12" s="0">
        <v>86000000</v>
      </c>
      <c r="F12" s="0">
        <v>90000000</v>
      </c>
      <c r="G12" s="0">
        <v>94845652</v>
      </c>
      <c r="H12" s="0">
        <v>94259933</v>
      </c>
      <c r="I12" s="0">
        <v>93892127</v>
      </c>
      <c r="J12" s="0">
        <v>93660632</v>
      </c>
      <c r="K12" s="0">
        <v>93514721</v>
      </c>
    </row>
    <row r="13">
      <c r="A13" s="0" t="inlineStr">
        <is>
          <t xml:space="preserve">depreciationPercentage</t>
        </is>
      </c>
      <c r="B13" s="0">
        <v>0.71862</v>
      </c>
      <c r="C13" s="0">
        <v>0.76175</v>
      </c>
      <c r="D13" s="0">
        <v>0.6923</v>
      </c>
      <c r="E13" s="0">
        <v>0.60465</v>
      </c>
      <c r="F13" s="0">
        <v>0.64272</v>
      </c>
      <c r="G13" s="0">
        <v>0.68401</v>
      </c>
      <c r="H13" s="0">
        <v>0.68401</v>
      </c>
      <c r="I13" s="0">
        <v>0.68401</v>
      </c>
      <c r="J13" s="0">
        <v>0.68401</v>
      </c>
      <c r="K13" s="0">
        <v>0.68401</v>
      </c>
    </row>
    <row r="14">
      <c r="A14" s="0" t="inlineStr">
        <is>
          <t xml:space="preserve">totalCash</t>
        </is>
      </c>
      <c r="B14" s="0">
        <v>2949000000</v>
      </c>
      <c r="C14" s="0">
        <v>17886000000</v>
      </c>
      <c r="D14" s="0">
        <v>9682000000</v>
      </c>
      <c r="E14" s="0">
        <v>3232000000</v>
      </c>
      <c r="F14" s="0">
        <v>3805000000</v>
      </c>
      <c r="G14" s="0">
        <v>6834118453</v>
      </c>
      <c r="H14" s="0">
        <v>6791914380</v>
      </c>
      <c r="I14" s="0">
        <v>6765412037</v>
      </c>
      <c r="J14" s="0">
        <v>6748731636</v>
      </c>
      <c r="K14" s="0">
        <v>6738217959</v>
      </c>
    </row>
    <row r="15">
      <c r="A15" s="0" t="inlineStr">
        <is>
          <t xml:space="preserve">totalCashPercentage</t>
        </is>
      </c>
      <c r="B15" s="0">
        <v>25.23</v>
      </c>
      <c r="C15" s="0">
        <v>144.94</v>
      </c>
      <c r="D15" s="0">
        <v>71.31</v>
      </c>
      <c r="E15" s="0">
        <v>22.72</v>
      </c>
      <c r="F15" s="0">
        <v>27.17</v>
      </c>
      <c r="G15" s="0">
        <v>49.29</v>
      </c>
      <c r="H15" s="0">
        <v>49.29</v>
      </c>
      <c r="I15" s="0">
        <v>49.29</v>
      </c>
      <c r="J15" s="0">
        <v>49.29</v>
      </c>
      <c r="K15" s="0">
        <v>49.29</v>
      </c>
    </row>
    <row r="16">
      <c r="A16" s="0" t="inlineStr">
        <is>
          <t xml:space="preserve">receivables</t>
        </is>
      </c>
      <c r="B16" s="0">
        <v>1384000000</v>
      </c>
      <c r="C16" s="0">
        <v>1013000000</v>
      </c>
      <c r="D16" s="0">
        <v>1104000000</v>
      </c>
      <c r="E16" s="0">
        <v>1131000000</v>
      </c>
      <c r="F16" s="0">
        <v>1094000000</v>
      </c>
      <c r="G16" s="0">
        <v>1218683726</v>
      </c>
      <c r="H16" s="0">
        <v>1211157749</v>
      </c>
      <c r="I16" s="0">
        <v>1206431759</v>
      </c>
      <c r="J16" s="0">
        <v>1203457252</v>
      </c>
      <c r="K16" s="0">
        <v>1201582417</v>
      </c>
    </row>
    <row r="17">
      <c r="A17" s="0" t="inlineStr">
        <is>
          <t xml:space="preserve">receivablesPercentage</t>
        </is>
      </c>
      <c r="B17" s="0">
        <v>11.84</v>
      </c>
      <c r="C17" s="0">
        <v>8.21</v>
      </c>
      <c r="D17" s="0">
        <v>8.13</v>
      </c>
      <c r="E17" s="0">
        <v>7.95</v>
      </c>
      <c r="F17" s="0">
        <v>7.81</v>
      </c>
      <c r="G17" s="0">
        <v>8.79</v>
      </c>
      <c r="H17" s="0">
        <v>8.79</v>
      </c>
      <c r="I17" s="0">
        <v>8.79</v>
      </c>
      <c r="J17" s="0">
        <v>8.79</v>
      </c>
      <c r="K17" s="0">
        <v>8.79</v>
      </c>
    </row>
    <row r="18">
      <c r="A18" s="0" t="inlineStr">
        <is>
          <t xml:space="preserve">inventories</t>
        </is>
      </c>
      <c r="B18" s="0">
        <v>-404000000</v>
      </c>
      <c r="C18" s="0">
        <v>-318000000</v>
      </c>
      <c r="D18" s="0">
        <v>0</v>
      </c>
      <c r="E18" s="0">
        <v>0</v>
      </c>
      <c r="F18" s="0">
        <v>0</v>
      </c>
      <c r="G18" s="0">
        <v>128907508</v>
      </c>
      <c r="H18" s="0">
        <v>255031884</v>
      </c>
      <c r="I18" s="0">
        <v>379286613</v>
      </c>
      <c r="J18" s="0">
        <v>502131010</v>
      </c>
      <c r="K18" s="0">
        <v>623786531</v>
      </c>
    </row>
    <row r="19">
      <c r="A19" s="0" t="inlineStr">
        <is>
          <t xml:space="preserve">inventoriesPercentage</t>
        </is>
      </c>
      <c r="B19" s="0">
        <v>-3.46</v>
      </c>
      <c r="C19" s="0">
        <v>-2.58</v>
      </c>
      <c r="D19" s="0">
        <v>0</v>
      </c>
      <c r="E19" s="0">
        <v>0</v>
      </c>
      <c r="F19" s="0">
        <v>0</v>
      </c>
      <c r="G19" s="0">
        <v>0.92966</v>
      </c>
      <c r="H19" s="0">
        <v>1.85</v>
      </c>
      <c r="I19" s="0">
        <v>2.76</v>
      </c>
      <c r="J19" s="0">
        <v>3.67</v>
      </c>
      <c r="K19" s="0">
        <v>4.56</v>
      </c>
    </row>
    <row r="20">
      <c r="A20" s="0" t="inlineStr">
        <is>
          <t xml:space="preserve">payable</t>
        </is>
      </c>
      <c r="B20" s="0">
        <v>104000000</v>
      </c>
      <c r="C20" s="0">
        <v>121000000</v>
      </c>
      <c r="D20" s="0">
        <v>90000000</v>
      </c>
      <c r="E20" s="0">
        <v>106000000</v>
      </c>
      <c r="F20" s="0">
        <v>136000000</v>
      </c>
      <c r="G20" s="0">
        <v>117851261</v>
      </c>
      <c r="H20" s="0">
        <v>117123471</v>
      </c>
      <c r="I20" s="0">
        <v>116666450</v>
      </c>
      <c r="J20" s="0">
        <v>116378805</v>
      </c>
      <c r="K20" s="0">
        <v>116197501</v>
      </c>
    </row>
    <row r="21">
      <c r="A21" s="0" t="inlineStr">
        <is>
          <t xml:space="preserve">payablePercentage</t>
        </is>
      </c>
      <c r="B21" s="0">
        <v>0.88973</v>
      </c>
      <c r="C21" s="0">
        <v>0.98055</v>
      </c>
      <c r="D21" s="0">
        <v>0.66284</v>
      </c>
      <c r="E21" s="0">
        <v>0.74527</v>
      </c>
      <c r="F21" s="0">
        <v>0.97122</v>
      </c>
      <c r="G21" s="0">
        <v>0.84992</v>
      </c>
      <c r="H21" s="0">
        <v>0.84992</v>
      </c>
      <c r="I21" s="0">
        <v>0.84992</v>
      </c>
      <c r="J21" s="0">
        <v>0.84992</v>
      </c>
      <c r="K21" s="0">
        <v>0.84992</v>
      </c>
    </row>
    <row r="22">
      <c r="A22" s="0" t="inlineStr">
        <is>
          <t xml:space="preserve">capitalExpenditure</t>
        </is>
      </c>
      <c r="B22" s="0">
        <v>-9038000000</v>
      </c>
      <c r="C22" s="0">
        <v>-17433000000</v>
      </c>
      <c r="D22" s="0">
        <v>-85000000</v>
      </c>
      <c r="E22" s="0">
        <v>-69000000</v>
      </c>
      <c r="F22" s="0">
        <v>-39000000</v>
      </c>
      <c r="G22" s="0">
        <v>-4956042061</v>
      </c>
      <c r="H22" s="0">
        <v>-4925436042</v>
      </c>
      <c r="I22" s="0">
        <v>-4906216778</v>
      </c>
      <c r="J22" s="0">
        <v>-4894120299</v>
      </c>
      <c r="K22" s="0">
        <v>-4886495874</v>
      </c>
    </row>
    <row r="23">
      <c r="A23" s="0" t="inlineStr">
        <is>
          <t xml:space="preserve">capitalExpenditurePercentage</t>
        </is>
      </c>
      <c r="B23" s="0">
        <v>-77.32</v>
      </c>
      <c r="C23" s="0">
        <v>-141.27</v>
      </c>
      <c r="D23" s="0">
        <v>-0.62601</v>
      </c>
      <c r="E23" s="0">
        <v>-0.48513</v>
      </c>
      <c r="F23" s="0">
        <v>-0.27851</v>
      </c>
      <c r="G23" s="0">
        <v>-35.74</v>
      </c>
      <c r="H23" s="0">
        <v>-35.74</v>
      </c>
      <c r="I23" s="0">
        <v>-35.74</v>
      </c>
      <c r="J23" s="0">
        <v>-35.74</v>
      </c>
      <c r="K23" s="0">
        <v>-35.74</v>
      </c>
    </row>
    <row r="24">
      <c r="A24" s="0" t="inlineStr">
        <is>
          <t xml:space="preserve">price</t>
        </is>
      </c>
      <c r="B24" s="0">
        <v>38.2</v>
      </c>
      <c r="C24" s="0">
        <v>38.2</v>
      </c>
      <c r="D24" s="0">
        <v>38.2</v>
      </c>
      <c r="E24" s="0">
        <v>38.2</v>
      </c>
      <c r="F24" s="0">
        <v>38.2</v>
      </c>
      <c r="G24" s="0">
        <v>38.2</v>
      </c>
      <c r="H24" s="0">
        <v>38.2</v>
      </c>
      <c r="I24" s="0">
        <v>38.2</v>
      </c>
      <c r="J24" s="0">
        <v>38.2</v>
      </c>
      <c r="K24" s="0">
        <v>38.2</v>
      </c>
    </row>
    <row r="25">
      <c r="A25" s="0" t="inlineStr">
        <is>
          <t xml:space="preserve">beta</t>
        </is>
      </c>
      <c r="B25" s="0">
        <v>0.875</v>
      </c>
      <c r="C25" s="0">
        <v>0.875</v>
      </c>
      <c r="D25" s="0">
        <v>0.875</v>
      </c>
      <c r="E25" s="0">
        <v>0.875</v>
      </c>
      <c r="F25" s="0">
        <v>0.875</v>
      </c>
      <c r="G25" s="0">
        <v>0.875</v>
      </c>
      <c r="H25" s="0">
        <v>0.875</v>
      </c>
      <c r="I25" s="0">
        <v>0.875</v>
      </c>
      <c r="J25" s="0">
        <v>0.875</v>
      </c>
      <c r="K25" s="0">
        <v>0.875</v>
      </c>
    </row>
    <row r="26">
      <c r="A26" s="0" t="inlineStr">
        <is>
          <t xml:space="preserve">dilutedSharesOutstanding</t>
        </is>
      </c>
      <c r="B26" s="0">
        <v>2588543000</v>
      </c>
      <c r="C26" s="0">
        <v>2588543000</v>
      </c>
      <c r="D26" s="0">
        <v>2588543000</v>
      </c>
      <c r="E26" s="0">
        <v>2588543000</v>
      </c>
      <c r="F26" s="0">
        <v>2588543000</v>
      </c>
      <c r="G26" s="0">
        <v>2588543000</v>
      </c>
      <c r="H26" s="0">
        <v>2588543000</v>
      </c>
      <c r="I26" s="0">
        <v>2588543000</v>
      </c>
      <c r="J26" s="0">
        <v>2588543000</v>
      </c>
      <c r="K26" s="0">
        <v>2588543000</v>
      </c>
    </row>
    <row r="27">
      <c r="A27" s="0" t="inlineStr">
        <is>
          <t xml:space="preserve">costofDebt</t>
        </is>
      </c>
      <c r="B27" s="0">
        <v>4.89</v>
      </c>
      <c r="C27" s="0">
        <v>4.89</v>
      </c>
      <c r="D27" s="0">
        <v>4.89</v>
      </c>
      <c r="E27" s="0">
        <v>4.89</v>
      </c>
      <c r="F27" s="0">
        <v>4.89</v>
      </c>
      <c r="G27" s="0">
        <v>4.89</v>
      </c>
      <c r="H27" s="0">
        <v>4.89</v>
      </c>
      <c r="I27" s="0">
        <v>4.89</v>
      </c>
      <c r="J27" s="0">
        <v>4.89</v>
      </c>
      <c r="K27" s="0">
        <v>4.89</v>
      </c>
    </row>
    <row r="28">
      <c r="A28" s="0" t="inlineStr">
        <is>
          <t xml:space="preserve">taxRate</t>
        </is>
      </c>
      <c r="B28" s="0">
        <v>-8.08</v>
      </c>
      <c r="C28" s="0">
        <v>-8.08</v>
      </c>
      <c r="D28" s="0">
        <v>-8.08</v>
      </c>
      <c r="E28" s="0">
        <v>-8.08</v>
      </c>
      <c r="F28" s="0">
        <v>-8.08</v>
      </c>
      <c r="G28" s="0">
        <v>-8.08</v>
      </c>
      <c r="H28" s="0">
        <v>-8.08</v>
      </c>
      <c r="I28" s="0">
        <v>-8.08</v>
      </c>
      <c r="J28" s="0">
        <v>-8.08</v>
      </c>
      <c r="K28" s="0">
        <v>-8.08</v>
      </c>
    </row>
    <row r="29">
      <c r="A29" s="0" t="inlineStr">
        <is>
          <t xml:space="preserve">afterTaxCostOfDebt</t>
        </is>
      </c>
      <c r="B29" s="0">
        <v>4.89</v>
      </c>
      <c r="C29" s="0">
        <v>4.89</v>
      </c>
      <c r="D29" s="0">
        <v>4.89</v>
      </c>
      <c r="E29" s="0">
        <v>4.89</v>
      </c>
      <c r="F29" s="0">
        <v>4.89</v>
      </c>
      <c r="G29" s="0">
        <v>4.89</v>
      </c>
      <c r="H29" s="0">
        <v>4.89</v>
      </c>
      <c r="I29" s="0">
        <v>4.89</v>
      </c>
      <c r="J29" s="0">
        <v>4.89</v>
      </c>
      <c r="K29" s="0">
        <v>4.89</v>
      </c>
    </row>
    <row r="30">
      <c r="A30" s="0" t="inlineStr">
        <is>
          <t xml:space="preserve">riskFreeRate</t>
        </is>
      </c>
      <c r="B30" s="0">
        <v>4.89</v>
      </c>
      <c r="C30" s="0">
        <v>4.89</v>
      </c>
      <c r="D30" s="0">
        <v>4.89</v>
      </c>
      <c r="E30" s="0">
        <v>4.89</v>
      </c>
      <c r="F30" s="0">
        <v>4.89</v>
      </c>
      <c r="G30" s="0">
        <v>4.89</v>
      </c>
      <c r="H30" s="0">
        <v>4.89</v>
      </c>
      <c r="I30" s="0">
        <v>4.89</v>
      </c>
      <c r="J30" s="0">
        <v>4.89</v>
      </c>
      <c r="K30" s="0">
        <v>4.89</v>
      </c>
    </row>
    <row r="31">
      <c r="A31" s="0" t="inlineStr">
        <is>
          <t xml:space="preserve">marketRiskPremium</t>
        </is>
      </c>
      <c r="B31" s="0">
        <v>4.72</v>
      </c>
      <c r="C31" s="0">
        <v>4.72</v>
      </c>
      <c r="D31" s="0">
        <v>4.72</v>
      </c>
      <c r="E31" s="0">
        <v>4.72</v>
      </c>
      <c r="F31" s="0">
        <v>4.72</v>
      </c>
      <c r="G31" s="0">
        <v>4.72</v>
      </c>
      <c r="H31" s="0">
        <v>4.72</v>
      </c>
      <c r="I31" s="0">
        <v>4.72</v>
      </c>
      <c r="J31" s="0">
        <v>4.72</v>
      </c>
      <c r="K31" s="0">
        <v>4.72</v>
      </c>
    </row>
    <row r="32">
      <c r="A32" s="0" t="inlineStr">
        <is>
          <t xml:space="preserve">costOfEquity</t>
        </is>
      </c>
      <c r="B32" s="0">
        <v>9.02</v>
      </c>
      <c r="C32" s="0">
        <v>9.02</v>
      </c>
      <c r="D32" s="0">
        <v>9.02</v>
      </c>
      <c r="E32" s="0">
        <v>9.02</v>
      </c>
      <c r="F32" s="0">
        <v>9.02</v>
      </c>
      <c r="G32" s="0">
        <v>9.02</v>
      </c>
      <c r="H32" s="0">
        <v>9.02</v>
      </c>
      <c r="I32" s="0">
        <v>9.02</v>
      </c>
      <c r="J32" s="0">
        <v>9.02</v>
      </c>
      <c r="K32" s="0">
        <v>9.02</v>
      </c>
    </row>
    <row r="33">
      <c r="A33" s="0" t="inlineStr">
        <is>
          <t xml:space="preserve">totalDebt</t>
        </is>
      </c>
      <c r="B33" s="0">
        <v>56300000000</v>
      </c>
      <c r="C33" s="0">
        <v>56300000000</v>
      </c>
      <c r="D33" s="0">
        <v>56300000000</v>
      </c>
      <c r="E33" s="0">
        <v>56300000000</v>
      </c>
      <c r="F33" s="0">
        <v>56300000000</v>
      </c>
      <c r="G33" s="0">
        <v>56300000000</v>
      </c>
      <c r="H33" s="0">
        <v>56300000000</v>
      </c>
      <c r="I33" s="0">
        <v>56300000000</v>
      </c>
      <c r="J33" s="0">
        <v>56300000000</v>
      </c>
      <c r="K33" s="0">
        <v>56300000000</v>
      </c>
    </row>
    <row r="34">
      <c r="A34" s="0" t="inlineStr">
        <is>
          <t xml:space="preserve">totalEquity</t>
        </is>
      </c>
      <c r="B34" s="0">
        <v>98882342600</v>
      </c>
      <c r="C34" s="0">
        <v>98882342600</v>
      </c>
      <c r="D34" s="0">
        <v>98882342600</v>
      </c>
      <c r="E34" s="0">
        <v>98882342600</v>
      </c>
      <c r="F34" s="0">
        <v>98882342600</v>
      </c>
      <c r="G34" s="0">
        <v>98882342600</v>
      </c>
      <c r="H34" s="0">
        <v>98882342600</v>
      </c>
      <c r="I34" s="0">
        <v>98882342600</v>
      </c>
      <c r="J34" s="0">
        <v>98882342600</v>
      </c>
      <c r="K34" s="0">
        <v>98882342600</v>
      </c>
    </row>
    <row r="35">
      <c r="A35" s="0" t="inlineStr">
        <is>
          <t xml:space="preserve">totalCapital</t>
        </is>
      </c>
      <c r="B35" s="0">
        <v>155182342600</v>
      </c>
      <c r="C35" s="0">
        <v>155182342600</v>
      </c>
      <c r="D35" s="0">
        <v>155182342600</v>
      </c>
      <c r="E35" s="0">
        <v>155182342600</v>
      </c>
      <c r="F35" s="0">
        <v>155182342600</v>
      </c>
      <c r="G35" s="0">
        <v>155182342600</v>
      </c>
      <c r="H35" s="0">
        <v>155182342600</v>
      </c>
      <c r="I35" s="0">
        <v>155182342600</v>
      </c>
      <c r="J35" s="0">
        <v>155182342600</v>
      </c>
      <c r="K35" s="0">
        <v>155182342600</v>
      </c>
    </row>
    <row r="36">
      <c r="A36" s="0" t="inlineStr">
        <is>
          <t xml:space="preserve">debtWeighting</t>
        </is>
      </c>
      <c r="B36" s="0">
        <v>36.28</v>
      </c>
      <c r="C36" s="0">
        <v>36.28</v>
      </c>
      <c r="D36" s="0">
        <v>36.28</v>
      </c>
      <c r="E36" s="0">
        <v>36.28</v>
      </c>
      <c r="F36" s="0">
        <v>36.28</v>
      </c>
      <c r="G36" s="0">
        <v>36.28</v>
      </c>
      <c r="H36" s="0">
        <v>36.28</v>
      </c>
      <c r="I36" s="0">
        <v>36.28</v>
      </c>
      <c r="J36" s="0">
        <v>36.28</v>
      </c>
      <c r="K36" s="0">
        <v>36.28</v>
      </c>
    </row>
    <row r="37">
      <c r="A37" s="0" t="inlineStr">
        <is>
          <t xml:space="preserve">equityWeighting</t>
        </is>
      </c>
      <c r="B37" s="0">
        <v>63.72</v>
      </c>
      <c r="C37" s="0">
        <v>63.72</v>
      </c>
      <c r="D37" s="0">
        <v>63.72</v>
      </c>
      <c r="E37" s="0">
        <v>63.72</v>
      </c>
      <c r="F37" s="0">
        <v>63.72</v>
      </c>
      <c r="G37" s="0">
        <v>63.72</v>
      </c>
      <c r="H37" s="0">
        <v>63.72</v>
      </c>
      <c r="I37" s="0">
        <v>63.72</v>
      </c>
      <c r="J37" s="0">
        <v>63.72</v>
      </c>
      <c r="K37" s="0">
        <v>63.72</v>
      </c>
    </row>
    <row r="38">
      <c r="A38" s="0" t="inlineStr">
        <is>
          <t xml:space="preserve">wacc</t>
        </is>
      </c>
      <c r="B38" s="0">
        <v>7.32</v>
      </c>
      <c r="C38" s="0">
        <v>7.44</v>
      </c>
      <c r="D38" s="0">
        <v>7.52</v>
      </c>
      <c r="E38" s="0">
        <v>7.52</v>
      </c>
      <c r="F38" s="0">
        <v>7.52</v>
      </c>
      <c r="G38" s="0">
        <v>7.46</v>
      </c>
      <c r="H38" s="0">
        <v>7.46</v>
      </c>
      <c r="I38" s="0">
        <v>7.46</v>
      </c>
      <c r="J38" s="0">
        <v>7.46</v>
      </c>
      <c r="K38" s="0">
        <v>7.46</v>
      </c>
    </row>
    <row r="39">
      <c r="A39" s="0" t="inlineStr">
        <is>
          <t xml:space="preserve">taxRateCash</t>
        </is>
      </c>
      <c r="B39" s="0">
        <v>11296964</v>
      </c>
      <c r="C39" s="0">
        <v>4705810</v>
      </c>
      <c r="D39" s="0">
        <v>-116721311</v>
      </c>
      <c r="E39" s="0">
        <v>45112</v>
      </c>
      <c r="F39" s="0">
        <v>-8080070</v>
      </c>
      <c r="G39" s="0">
        <v>3209577</v>
      </c>
      <c r="H39" s="0">
        <v>3209577</v>
      </c>
      <c r="I39" s="0">
        <v>3209577</v>
      </c>
      <c r="J39" s="0">
        <v>3209577</v>
      </c>
      <c r="K39" s="0">
        <v>3209577</v>
      </c>
    </row>
    <row r="40">
      <c r="A40" s="0" t="inlineStr">
        <is>
          <t xml:space="preserve">ebiat</t>
        </is>
      </c>
      <c r="B40" s="0">
        <v>8043591353</v>
      </c>
      <c r="C40" s="0">
        <v>17049083569</v>
      </c>
      <c r="D40" s="0">
        <v>2834714754</v>
      </c>
      <c r="E40" s="0">
        <v>-6738958610</v>
      </c>
      <c r="F40" s="0">
        <v>-5276469023</v>
      </c>
      <c r="G40" s="0">
        <v>2816937528</v>
      </c>
      <c r="H40" s="0">
        <v>2799541541</v>
      </c>
      <c r="I40" s="0">
        <v>2788617609</v>
      </c>
      <c r="J40" s="0">
        <v>2781742158</v>
      </c>
      <c r="K40" s="0">
        <v>2777408553</v>
      </c>
    </row>
    <row r="41">
      <c r="A41" s="0" t="inlineStr">
        <is>
          <t xml:space="preserve">ufcf</t>
        </is>
      </c>
      <c r="B41" s="0">
        <v>-1786408646</v>
      </c>
      <c r="C41" s="0">
        <v>12083569</v>
      </c>
      <c r="D41" s="0">
        <v>2403714754</v>
      </c>
      <c r="E41" s="0">
        <v>-6732958610</v>
      </c>
      <c r="F41" s="0">
        <v>-5158469023</v>
      </c>
      <c r="G41" s="0">
        <v>-2315998853</v>
      </c>
      <c r="H41" s="0">
        <v>-2150960756</v>
      </c>
      <c r="I41" s="0">
        <v>-2143692801</v>
      </c>
      <c r="J41" s="0">
        <v>-2138875043</v>
      </c>
      <c r="K41" s="0">
        <v>-2135534589</v>
      </c>
    </row>
    <row r="42">
      <c r="A42" s="0" t="inlineStr">
        <is>
          <t xml:space="preserve">sumPvUfcf</t>
        </is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-8838599982</v>
      </c>
    </row>
    <row r="43">
      <c r="A43" s="0" t="inlineStr">
        <is>
          <t xml:space="preserve">longTermGrowthRate</t>
        </is>
      </c>
      <c r="B43" s="0">
        <v>2</v>
      </c>
      <c r="C43" s="0">
        <v>2</v>
      </c>
      <c r="D43" s="0">
        <v>2</v>
      </c>
      <c r="E43" s="0">
        <v>2</v>
      </c>
      <c r="F43" s="0">
        <v>2</v>
      </c>
      <c r="G43" s="0">
        <v>2</v>
      </c>
      <c r="H43" s="0">
        <v>2</v>
      </c>
      <c r="I43" s="0">
        <v>2</v>
      </c>
      <c r="J43" s="0">
        <v>2</v>
      </c>
      <c r="K43" s="0">
        <v>2</v>
      </c>
    </row>
    <row r="44">
      <c r="A44" s="0" t="inlineStr">
        <is>
          <t xml:space="preserve">terminalValue</t>
        </is>
      </c>
      <c r="B44" s="0">
        <v>-39860294587</v>
      </c>
      <c r="C44" s="0">
        <v>-39860294587</v>
      </c>
      <c r="D44" s="0">
        <v>-39860294587</v>
      </c>
      <c r="E44" s="0">
        <v>-39860294587</v>
      </c>
      <c r="F44" s="0">
        <v>-39860294587</v>
      </c>
      <c r="G44" s="0">
        <v>-39860294587</v>
      </c>
      <c r="H44" s="0">
        <v>-39860294587</v>
      </c>
      <c r="I44" s="0">
        <v>-39860294587</v>
      </c>
      <c r="J44" s="0">
        <v>-39860294587</v>
      </c>
      <c r="K44" s="0">
        <v>-39860294587</v>
      </c>
    </row>
    <row r="45">
      <c r="A45" s="0" t="inlineStr">
        <is>
          <t xml:space="preserve">presentTerminalValue</t>
        </is>
      </c>
      <c r="B45" s="0">
        <v>-27997061821</v>
      </c>
      <c r="C45" s="0">
        <v>-27845036840</v>
      </c>
      <c r="D45" s="0">
        <v>-27737103200</v>
      </c>
      <c r="E45" s="0">
        <v>-27738135493</v>
      </c>
      <c r="F45" s="0">
        <v>-27737103200</v>
      </c>
      <c r="G45" s="0">
        <v>-27810664303</v>
      </c>
      <c r="H45" s="0">
        <v>-27810664303</v>
      </c>
      <c r="I45" s="0">
        <v>-27810664303</v>
      </c>
      <c r="J45" s="0">
        <v>-27810664303</v>
      </c>
      <c r="K45" s="0">
        <v>-27810664303</v>
      </c>
    </row>
    <row r="46">
      <c r="A46" s="0" t="inlineStr">
        <is>
          <t xml:space="preserve">enterpriseValue</t>
        </is>
      </c>
      <c r="B46" s="0">
        <v>-36835661803</v>
      </c>
      <c r="C46" s="0">
        <v>-36683636822</v>
      </c>
      <c r="D46" s="0">
        <v>-36575703182</v>
      </c>
      <c r="E46" s="0">
        <v>-36576735475</v>
      </c>
      <c r="F46" s="0">
        <v>-36575703182</v>
      </c>
      <c r="G46" s="0">
        <v>-36649264286</v>
      </c>
      <c r="H46" s="0">
        <v>-36649264286</v>
      </c>
      <c r="I46" s="0">
        <v>-36649264286</v>
      </c>
      <c r="J46" s="0">
        <v>-36649264286</v>
      </c>
      <c r="K46" s="0">
        <v>-36649264286</v>
      </c>
    </row>
    <row r="47">
      <c r="A47" s="0" t="inlineStr">
        <is>
          <t xml:space="preserve">netDebt</t>
        </is>
      </c>
      <c r="B47" s="0">
        <v>52515000000</v>
      </c>
      <c r="C47" s="0">
        <v>52515000000</v>
      </c>
      <c r="D47" s="0">
        <v>52515000000</v>
      </c>
      <c r="E47" s="0">
        <v>52515000000</v>
      </c>
      <c r="F47" s="0">
        <v>52515000000</v>
      </c>
      <c r="G47" s="0">
        <v>52515000000</v>
      </c>
      <c r="H47" s="0">
        <v>52515000000</v>
      </c>
      <c r="I47" s="0">
        <v>52515000000</v>
      </c>
      <c r="J47" s="0">
        <v>52515000000</v>
      </c>
      <c r="K47" s="0">
        <v>52515000000</v>
      </c>
    </row>
    <row r="48">
      <c r="A48" s="0" t="inlineStr">
        <is>
          <t xml:space="preserve">equityValue</t>
        </is>
      </c>
      <c r="B48" s="0">
        <v>-89350661803</v>
      </c>
      <c r="C48" s="0">
        <v>-89198636822</v>
      </c>
      <c r="D48" s="0">
        <v>-89090703182</v>
      </c>
      <c r="E48" s="0">
        <v>-89091735475</v>
      </c>
      <c r="F48" s="0">
        <v>-89090703182</v>
      </c>
      <c r="G48" s="0">
        <v>-89164264286</v>
      </c>
      <c r="H48" s="0">
        <v>-89164264286</v>
      </c>
      <c r="I48" s="0">
        <v>-89164264286</v>
      </c>
      <c r="J48" s="0">
        <v>-89164264286</v>
      </c>
      <c r="K48" s="0">
        <v>-89164264286</v>
      </c>
    </row>
    <row r="49">
      <c r="A49" s="0" t="inlineStr">
        <is>
          <t xml:space="preserve">equityValuePerShare</t>
        </is>
      </c>
      <c r="B49" s="0">
        <v>-34.52</v>
      </c>
      <c r="C49" s="0">
        <v>-34.46</v>
      </c>
      <c r="D49" s="0">
        <v>-34.42</v>
      </c>
      <c r="E49" s="0">
        <v>-34.42</v>
      </c>
      <c r="F49" s="0">
        <v>-34.42</v>
      </c>
      <c r="G49" s="0">
        <v>-34.45</v>
      </c>
      <c r="H49" s="0">
        <v>-34.45</v>
      </c>
      <c r="I49" s="0">
        <v>-34.45</v>
      </c>
      <c r="J49" s="0">
        <v>-34.45</v>
      </c>
      <c r="K49" s="0">
        <v>-34.45</v>
      </c>
    </row>
    <row r="50">
      <c r="A50" s="0" t="inlineStr">
        <is>
          <t xml:space="preserve">freeCashFlowT1</t>
        </is>
      </c>
      <c r="B50" s="0">
        <v>-2178245281</v>
      </c>
      <c r="C50" s="0">
        <v>-2178245281</v>
      </c>
      <c r="D50" s="0">
        <v>-2178245281</v>
      </c>
      <c r="E50" s="0">
        <v>-2178245281</v>
      </c>
      <c r="F50" s="0">
        <v>-2178245281</v>
      </c>
      <c r="G50" s="0">
        <v>-2178245281</v>
      </c>
      <c r="H50" s="0">
        <v>-2178245281</v>
      </c>
      <c r="I50" s="0">
        <v>-2178245281</v>
      </c>
      <c r="J50" s="0">
        <v>-2178245281</v>
      </c>
      <c r="K50" s="0">
        <v>-2178245281</v>
      </c>
    </row>
    <row r="51">
      <c r="A51" s="0" t="inlineStr">
        <is>
          <t xml:space="preserve">Checks below are candidate identities, not a reproduced FMP engine. Residuals do not alter raw vendor outputs.</t>
        </is>
      </c>
    </row>
    <row r="52">
      <c r="A52" s="0" t="inlineStr">
        <is>
          <t xml:space="preserve">EV residual</t>
        </is>
      </c>
      <c r="B52" s="0">
        <f>B46-(B42+B45)</f>
        <v>-8838599982</v>
      </c>
      <c r="C52" s="0">
        <f>C46-(C42+C45)</f>
        <v>-8838599982</v>
      </c>
      <c r="D52" s="0">
        <f>D46-(D42+D45)</f>
        <v>-8838599982</v>
      </c>
      <c r="E52" s="0">
        <f>E46-(E42+E45)</f>
        <v>-8838599982</v>
      </c>
      <c r="F52" s="0">
        <f>F46-(F42+F45)</f>
        <v>-8838599982</v>
      </c>
      <c r="G52" s="0">
        <f>G46-(G42+G45)</f>
        <v>-8838599983</v>
      </c>
      <c r="H52" s="0">
        <f>H46-(H42+H45)</f>
        <v>-8838599983</v>
      </c>
      <c r="I52" s="0">
        <f>I46-(I42+I45)</f>
        <v>-8838599983</v>
      </c>
      <c r="J52" s="0">
        <f>J46-(J42+J45)</f>
        <v>-8838599983</v>
      </c>
      <c r="K52" s="0">
        <f>K46-(K42+K45)</f>
        <v>-1</v>
      </c>
    </row>
    <row r="53">
      <c r="A53" s="0" t="inlineStr">
        <is>
          <t xml:space="preserve">Equity residual</t>
        </is>
      </c>
      <c r="B53" s="0">
        <f>B48-(B46-B47)</f>
        <v>0</v>
      </c>
      <c r="C53" s="0">
        <f>C48-(C46-C47)</f>
        <v>0</v>
      </c>
      <c r="D53" s="0">
        <f>D48-(D46-D47)</f>
        <v>0</v>
      </c>
      <c r="E53" s="0">
        <f>E48-(E46-E47)</f>
        <v>0</v>
      </c>
      <c r="F53" s="0">
        <f>F48-(F46-F47)</f>
        <v>0</v>
      </c>
      <c r="G53" s="0">
        <f>G48-(G46-G47)</f>
        <v>0</v>
      </c>
      <c r="H53" s="0">
        <f>H48-(H46-H47)</f>
        <v>0</v>
      </c>
      <c r="I53" s="0">
        <f>I48-(I46-I47)</f>
        <v>0</v>
      </c>
      <c r="J53" s="0">
        <f>J48-(J46-J47)</f>
        <v>0</v>
      </c>
      <c r="K53" s="0">
        <f>K48-(K46-K47)</f>
        <v>0</v>
      </c>
    </row>
    <row r="54">
      <c r="A54" s="0" t="inlineStr">
        <is>
          <t xml:space="preserve">EBIT identity residual</t>
        </is>
      </c>
      <c r="B54" s="0">
        <f>B10-(B8-B12)</f>
        <v>0</v>
      </c>
      <c r="C54" s="0">
        <f>C10-(C8-C12)</f>
        <v>0</v>
      </c>
      <c r="D54" s="0">
        <f>D10-(D8-D12)</f>
        <v>0</v>
      </c>
      <c r="E54" s="0">
        <f>E10-(E8-E12)</f>
        <v>0</v>
      </c>
      <c r="F54" s="0">
        <f>F10-(F8-F12)</f>
        <v>0</v>
      </c>
      <c r="G54" s="0">
        <f>G10-(G8-G12)</f>
        <v>21125076</v>
      </c>
      <c r="H54" s="0">
        <f>H10-(H8-H12)</f>
        <v>20994619</v>
      </c>
      <c r="I54" s="0">
        <f>I10-(I8-I12)</f>
        <v>20912697</v>
      </c>
      <c r="J54" s="0">
        <f>J10-(J8-J12)</f>
        <v>20861136</v>
      </c>
      <c r="K54" s="0">
        <f>K10-(K8-K12)</f>
        <v>20828638</v>
      </c>
    </row>
    <row r="55">
      <c r="A55" s="0" t="inlineStr">
        <is>
          <t xml:space="preserve">Original diluted-price residual</t>
        </is>
      </c>
      <c r="B55" s="0">
        <f>B49-B48/B26</f>
        <v>-0.00225708323176396915175834</v>
      </c>
      <c r="C55" s="0">
        <f>C49-C48/C26</f>
        <v>-0.00098702551976150289950756</v>
      </c>
      <c r="D55" s="0">
        <f>D49-D48/D26</f>
        <v>-0.00268370198988388448636936</v>
      </c>
      <c r="E55" s="0">
        <f>E49-E48/E26</f>
        <v>-0.00228490892366864293929056</v>
      </c>
      <c r="F55" s="0">
        <f>F49-F48/F26</f>
        <v>-0.00268370198988388448636936</v>
      </c>
      <c r="G55" s="0">
        <f>G49-G48/G26</f>
        <v>-0.00426574486110526269024698</v>
      </c>
      <c r="H55" s="0">
        <f>H49-H48/H26</f>
        <v>-0.00426574486110526269024698</v>
      </c>
      <c r="I55" s="0">
        <f>I49-I48/I26</f>
        <v>-0.00426574486110526269024698</v>
      </c>
      <c r="J55" s="0">
        <f>J49-J48/J26</f>
        <v>-0.00426574486110526269024698</v>
      </c>
      <c r="K55" s="0">
        <f>K49-K48/K26</f>
        <v>-0.00426574486110526269024698</v>
      </c>
    </row>
    <row r="56">
      <c r="A56" s="0" t="inlineStr">
        <is>
          <t xml:space="preserve">Site issued-share rebase</t>
        </is>
      </c>
      <c r="B56" s="0">
        <f>B48/2627313300</f>
        <v>-34.00837722817450054395872772</v>
      </c>
      <c r="C56" s="0">
        <f>C48/2627313300</f>
        <v>-33.95051394213244381627421442</v>
      </c>
      <c r="D56" s="0">
        <f>D48/2627313300</f>
        <v>-33.90943256824376445702155126</v>
      </c>
      <c r="E56" s="0">
        <f>E48/2627313300</f>
        <v>-33.90982547646677691617516647</v>
      </c>
      <c r="F56" s="0">
        <f>F48/2627313300</f>
        <v>-33.90943256824376445702155126</v>
      </c>
      <c r="G56" s="0">
        <f>G48/2627313300</f>
        <v>-33.93743117198851008747224779</v>
      </c>
      <c r="H56" s="0">
        <f>H48/2627313300</f>
        <v>-33.93743117198851008747224779</v>
      </c>
      <c r="I56" s="0">
        <f>I48/2627313300</f>
        <v>-33.93743117198851008747224779</v>
      </c>
      <c r="J56" s="0">
        <f>J48/2627313300</f>
        <v>-33.93743117198851008747224779</v>
      </c>
      <c r="K56" s="0">
        <f>K48/2627313300</f>
        <v>-33.93743117198851008747224779</v>
      </c>
    </row>
    <row r="57">
      <c r="A57" s="0" t="inlineStr">
        <is>
          <t xml:space="preserve">Website selected native row</t>
        </is>
      </c>
      <c r="B57" s="0" t="inlineStr">
        <is>
          <t xml:space="preserve">2031</t>
        </is>
      </c>
    </row>
    <row r="58">
      <c r="A58" s="0" t="inlineStr">
        <is>
          <t xml:space="preserve">Available row coverage</t>
        </is>
      </c>
      <c r="B58" s="0" t="inlineStr">
        <is>
          <t xml:space="preserve">availableApiRows</t>
        </is>
      </c>
    </row>
    <row r="59">
      <c r="A59" s="0" t="inlineStr">
        <is>
          <t xml:space="preserve">Site issued shares</t>
        </is>
      </c>
      <c r="B59" s="0">
        <v>2627313300</v>
      </c>
    </row>
    <row r="60">
      <c r="A60" s="0" t="inlineStr">
        <is>
          <t xml:space="preserve">Native scalar API overrides (not ten-year arrays)</t>
        </is>
      </c>
      <c r="B60" s="0" t="inlineStr">
        <is>
          <t xml:space="preserve">{}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54" customWidth="1"/>
    <col min="2" max="30" width="22" customWidth="1"/>
  </cols>
  <sheetData>
    <row r="1">
      <c r="A1" s="0" t="inlineStr">
        <is>
          <t xml:space="preserve">0823.HK: site-calculated ten-year advanced scenario</t>
        </is>
      </c>
    </row>
    <row r="2">
      <c r="A2" s="0" t="inlineStr">
        <is>
          <t xml:space="preserve">Amounts: currency units, NOT millions. Numeric assumption cells editable; formula cells recalculate.</t>
        </is>
      </c>
    </row>
    <row r="3">
      <c r="A3" s="0" t="inlineStr">
        <is>
          <t xml:space="preserve">Currency</t>
        </is>
      </c>
      <c r="B3" s="0" t="inlineStr">
        <is>
          <t xml:space="preserve">HKD</t>
        </is>
      </c>
    </row>
    <row r="4">
      <c r="A4" s="0" t="inlineStr">
        <is>
          <t xml:space="preserve">Source captured</t>
        </is>
      </c>
      <c r="B4" s="0" t="inlineStr">
        <is>
          <t xml:space="preserve">2026-10-18T06:56:02.514Z</t>
        </is>
      </c>
    </row>
    <row r="5">
      <c r="A5" s="0" t="inlineStr">
        <is>
          <t xml:space="preserve">Actual baseline FY</t>
        </is>
      </c>
      <c r="B5" s="0">
        <v>2026</v>
      </c>
    </row>
    <row r="6">
      <c r="A6" s="0" t="inlineStr">
        <is>
          <t xml:space="preserve">Base revenue (FMP model basis)</t>
        </is>
      </c>
      <c r="B6" s="0">
        <v>14003000000</v>
      </c>
    </row>
    <row r="7">
      <c r="A7" s="0" t="inlineStr">
        <is>
          <t xml:space="preserve">Opening NWC (FMP model basis)</t>
        </is>
      </c>
      <c r="B7" s="0">
        <v>958000000</v>
      </c>
    </row>
    <row r="8">
      <c r="A8" s="0" t="inlineStr">
        <is>
          <t xml:space="preserve">Snapshot net debt (subtracted once)</t>
        </is>
      </c>
      <c r="B8" s="0">
        <v>52515000000</v>
      </c>
    </row>
    <row r="9">
      <c r="A9" s="0" t="inlineStr">
        <is>
          <t xml:space="preserve">Issued common shares (individual shares)</t>
        </is>
      </c>
      <c r="B9" s="0">
        <v>2627313300</v>
      </c>
    </row>
    <row r="10">
      <c r="A10" s="0" t="inlineStr">
        <is>
          <t xml:space="preserve">Terminal growth</t>
        </is>
      </c>
      <c r="B10" s="1">
        <v>0.02</v>
      </c>
    </row>
    <row r="11">
      <c r="A11" s="0" t="inlineStr">
        <is>
          <t xml:space="preserve">Negative CapEx inputs. EBIT is linked to EBITDA less DA. Ke override takes precedence over CAPM.</t>
        </is>
      </c>
    </row>
    <row r="12">
      <c r="A12" s="0" t="inlineStr">
        <is>
          <t xml:space="preserve">Full precision retained. Percent display 2dp. Year-end discounting; no stub-year adjustment.</t>
        </is>
      </c>
    </row>
    <row r="13">
      <c r="A13" s="0" t="inlineStr">
        <is>
          <t xml:space="preserve">Projected fiscal year</t>
        </is>
      </c>
      <c r="B13" s="0">
        <v>2027</v>
      </c>
      <c r="C13" s="0">
        <v>2028</v>
      </c>
      <c r="D13" s="0">
        <v>2029</v>
      </c>
      <c r="E13" s="0">
        <v>2030</v>
      </c>
      <c r="F13" s="0">
        <v>2031</v>
      </c>
      <c r="G13" s="0">
        <v>2032</v>
      </c>
      <c r="H13" s="0">
        <v>2033</v>
      </c>
      <c r="I13" s="0">
        <v>2034</v>
      </c>
      <c r="J13" s="0">
        <v>2035</v>
      </c>
      <c r="K13" s="0">
        <v>2036</v>
      </c>
    </row>
    <row r="14">
      <c r="A14" s="0" t="inlineStr">
        <is>
          <t xml:space="preserve">Year source (not analyst consensus)</t>
        </is>
      </c>
      <c r="B14" s="0" t="inlineStr">
        <is>
          <t xml:space="preserve">FMP model projection</t>
        </is>
      </c>
      <c r="C14" s="0" t="inlineStr">
        <is>
          <t xml:space="preserve">FMP model projection</t>
        </is>
      </c>
      <c r="D14" s="0" t="inlineStr">
        <is>
          <t xml:space="preserve">FMP model projection</t>
        </is>
      </c>
      <c r="E14" s="0" t="inlineStr">
        <is>
          <t xml:space="preserve">FMP model projection</t>
        </is>
      </c>
      <c r="F14" s="0" t="inlineStr">
        <is>
          <t xml:space="preserve">FMP model projection</t>
        </is>
      </c>
      <c r="G14" s="0" t="inlineStr">
        <is>
          <t xml:space="preserve">Standard extension</t>
        </is>
      </c>
      <c r="H14" s="0" t="inlineStr">
        <is>
          <t xml:space="preserve">Standard extension</t>
        </is>
      </c>
      <c r="I14" s="0" t="inlineStr">
        <is>
          <t xml:space="preserve">Standard extension</t>
        </is>
      </c>
      <c r="J14" s="0" t="inlineStr">
        <is>
          <t xml:space="preserve">Standard extension</t>
        </is>
      </c>
      <c r="K14" s="0" t="inlineStr">
        <is>
          <t xml:space="preserve">Standard extension</t>
        </is>
      </c>
    </row>
    <row r="15">
      <c r="A15" s="0" t="inlineStr">
        <is>
          <t xml:space="preserve">growth</t>
        </is>
      </c>
      <c r="B15" s="1">
        <v>-0.009773534885381685</v>
      </c>
      <c r="C15" s="1">
        <v>-0.006175496255265256</v>
      </c>
      <c r="D15" s="1">
        <v>-0.003902043069159644</v>
      </c>
      <c r="E15" s="1">
        <v>-0.0024655411338829758</v>
      </c>
      <c r="F15" s="1">
        <v>-0.0015578744416481216</v>
      </c>
      <c r="G15" s="1">
        <v>0.002753700446681503</v>
      </c>
      <c r="H15" s="1">
        <v>0.007065275335011127</v>
      </c>
      <c r="I15" s="1">
        <v>0.011376850223340753</v>
      </c>
      <c r="J15" s="1">
        <v>0.015688425111670377</v>
      </c>
      <c r="K15" s="1">
        <v>0.02</v>
      </c>
    </row>
    <row r="16">
      <c r="A16" s="0" t="inlineStr">
        <is>
          <t xml:space="preserve">capex</t>
        </is>
      </c>
      <c r="B16" s="1">
        <v>-0.3574204238030393</v>
      </c>
      <c r="C16" s="1">
        <v>-0.3574204238167284</v>
      </c>
      <c r="D16" s="1">
        <v>-0.3574204237854227</v>
      </c>
      <c r="E16" s="1">
        <v>-0.3574204238057183</v>
      </c>
      <c r="F16" s="1">
        <v>-0.3574204238004639</v>
      </c>
      <c r="G16" s="1">
        <v>-0.3574204238004639</v>
      </c>
      <c r="H16" s="1">
        <v>-0.3574204238004639</v>
      </c>
      <c r="I16" s="1">
        <v>-0.3574204238004639</v>
      </c>
      <c r="J16" s="1">
        <v>-0.3574204238004639</v>
      </c>
      <c r="K16" s="1">
        <v>-0.3574204238004639</v>
      </c>
    </row>
    <row r="17">
      <c r="A17" s="0" t="inlineStr">
        <is>
          <t xml:space="preserve">tax</t>
        </is>
      </c>
      <c r="B17" s="1">
        <v>0.03209576875786291</v>
      </c>
      <c r="C17" s="1">
        <v>0.032095768787066103</v>
      </c>
      <c r="D17" s="1">
        <v>0.03209576889216925</v>
      </c>
      <c r="E17" s="1">
        <v>0.032095768694802462</v>
      </c>
      <c r="F17" s="1">
        <v>0.032095768907329347</v>
      </c>
      <c r="G17" s="1">
        <v>0.032095768907329347</v>
      </c>
      <c r="H17" s="1">
        <v>0.032095768907329347</v>
      </c>
      <c r="I17" s="1">
        <v>0.032095768907329347</v>
      </c>
      <c r="J17" s="1">
        <v>0.032095768907329347</v>
      </c>
      <c r="K17" s="1">
        <v>0.032095768907329347</v>
      </c>
    </row>
    <row r="18">
      <c r="A18" s="0" t="inlineStr">
        <is>
          <t xml:space="preserve">beta</t>
        </is>
      </c>
      <c r="B18" s="0">
        <v>0.875</v>
      </c>
      <c r="C18" s="0">
        <v>0.875</v>
      </c>
      <c r="D18" s="0">
        <v>0.875</v>
      </c>
      <c r="E18" s="0">
        <v>0.875</v>
      </c>
      <c r="F18" s="0">
        <v>0.875</v>
      </c>
      <c r="G18" s="0">
        <v>0.875</v>
      </c>
      <c r="H18" s="0">
        <v>0.875</v>
      </c>
      <c r="I18" s="0">
        <v>0.875</v>
      </c>
      <c r="J18" s="0">
        <v>0.875</v>
      </c>
      <c r="K18" s="0">
        <v>0.875</v>
      </c>
    </row>
    <row r="19">
      <c r="A19" s="0" t="inlineStr">
        <is>
          <t xml:space="preserve">rf</t>
        </is>
      </c>
      <c r="B19" s="1">
        <v>0.0489</v>
      </c>
      <c r="C19" s="1">
        <v>0.0489</v>
      </c>
      <c r="D19" s="1">
        <v>0.0489</v>
      </c>
      <c r="E19" s="1">
        <v>0.0489</v>
      </c>
      <c r="F19" s="1">
        <v>0.0489</v>
      </c>
      <c r="G19" s="1">
        <v>0.0489</v>
      </c>
      <c r="H19" s="1">
        <v>0.0489</v>
      </c>
      <c r="I19" s="1">
        <v>0.0489</v>
      </c>
      <c r="J19" s="1">
        <v>0.0489</v>
      </c>
      <c r="K19" s="1">
        <v>0.0489</v>
      </c>
    </row>
    <row r="20">
      <c r="A20" s="0" t="inlineStr">
        <is>
          <t xml:space="preserve">erp</t>
        </is>
      </c>
      <c r="B20" s="1">
        <v>0.0472</v>
      </c>
      <c r="C20" s="1">
        <v>0.0472</v>
      </c>
      <c r="D20" s="1">
        <v>0.0472</v>
      </c>
      <c r="E20" s="1">
        <v>0.0472</v>
      </c>
      <c r="F20" s="1">
        <v>0.0472</v>
      </c>
      <c r="G20" s="1">
        <v>0.0472</v>
      </c>
      <c r="H20" s="1">
        <v>0.0472</v>
      </c>
      <c r="I20" s="1">
        <v>0.0472</v>
      </c>
      <c r="J20" s="1">
        <v>0.0472</v>
      </c>
      <c r="K20" s="1">
        <v>0.0472</v>
      </c>
    </row>
    <row r="21">
      <c r="A21" s="0" t="inlineStr">
        <is>
          <t xml:space="preserve">kd</t>
        </is>
      </c>
      <c r="B21" s="1">
        <v>0.0489</v>
      </c>
      <c r="C21" s="1">
        <v>0.0489</v>
      </c>
      <c r="D21" s="1">
        <v>0.0489</v>
      </c>
      <c r="E21" s="1">
        <v>0.0489</v>
      </c>
      <c r="F21" s="1">
        <v>0.0489</v>
      </c>
      <c r="G21" s="1">
        <v>0.0489</v>
      </c>
      <c r="H21" s="1">
        <v>0.0489</v>
      </c>
      <c r="I21" s="1">
        <v>0.0489</v>
      </c>
      <c r="J21" s="1">
        <v>0.0489</v>
      </c>
      <c r="K21" s="1">
        <v>0.0489</v>
      </c>
    </row>
    <row r="22">
      <c r="A22" s="0" t="inlineStr">
        <is>
          <t xml:space="preserve">ke</t>
        </is>
      </c>
      <c r="B22" s="1">
        <f>IF(ISNUMBER(B32),B32,IF(AND(B19=0.0489,B18=0.875,B20=0.0472),0.0902,B19+B18*B20))</f>
        <v>0.0902</v>
      </c>
      <c r="C22" s="1">
        <f>IF(ISNUMBER(C32),C32,IF(AND(C19=0.0489,C18=0.875,C20=0.0472),0.0902,C19+C18*C20))</f>
        <v>0.0902</v>
      </c>
      <c r="D22" s="1">
        <f>IF(ISNUMBER(D32),D32,IF(AND(D19=0.0489,D18=0.875,D20=0.0472),0.0902,D19+D18*D20))</f>
        <v>0.0902</v>
      </c>
      <c r="E22" s="1">
        <f>IF(ISNUMBER(E32),E32,IF(AND(E19=0.0489,E18=0.875,E20=0.0472),0.0902,E19+E18*E20))</f>
        <v>0.0902</v>
      </c>
      <c r="F22" s="1">
        <f>IF(ISNUMBER(F32),F32,IF(AND(F19=0.0489,F18=0.875,F20=0.0472),0.0902,F19+F18*F20))</f>
        <v>0.0902</v>
      </c>
      <c r="G22" s="1">
        <f>IF(ISNUMBER(G32),G32,IF(AND(G19=0.0489,G18=0.875,G20=0.0472),0.0902,G19+G18*G20))</f>
        <v>0.0902</v>
      </c>
      <c r="H22" s="1">
        <f>IF(ISNUMBER(H32),H32,IF(AND(H19=0.0489,H18=0.875,H20=0.0472),0.0902,H19+H18*H20))</f>
        <v>0.0902</v>
      </c>
      <c r="I22" s="1">
        <f>IF(ISNUMBER(I32),I32,IF(AND(I19=0.0489,I18=0.875,I20=0.0472),0.0902,I19+I18*I20))</f>
        <v>0.0902</v>
      </c>
      <c r="J22" s="1">
        <f>IF(ISNUMBER(J32),J32,IF(AND(J19=0.0489,J18=0.875,J20=0.0472),0.0902,J19+J18*J20))</f>
        <v>0.0902</v>
      </c>
      <c r="K22" s="1">
        <f>IF(ISNUMBER(K32),K32,IF(AND(K19=0.0489,K18=0.875,K20=0.0472),0.0902,K19+K18*K20))</f>
        <v>0.0902</v>
      </c>
    </row>
    <row r="23">
      <c r="A23" s="0" t="inlineStr">
        <is>
          <t xml:space="preserve">debtWeight</t>
        </is>
      </c>
      <c r="B23" s="1">
        <v>0.3628</v>
      </c>
      <c r="C23" s="1">
        <v>0.3628</v>
      </c>
      <c r="D23" s="1">
        <v>0.3628</v>
      </c>
      <c r="E23" s="1">
        <v>0.3628</v>
      </c>
      <c r="F23" s="1">
        <v>0.3628</v>
      </c>
      <c r="G23" s="1">
        <v>0.3628</v>
      </c>
      <c r="H23" s="1">
        <v>0.3628</v>
      </c>
      <c r="I23" s="1">
        <v>0.3628</v>
      </c>
      <c r="J23" s="1">
        <v>0.3628</v>
      </c>
      <c r="K23" s="1">
        <v>0.3628</v>
      </c>
    </row>
    <row r="24">
      <c r="A24" s="0" t="inlineStr">
        <is>
          <t xml:space="preserve">ebitda</t>
        </is>
      </c>
      <c r="B24" s="1">
        <v>0.2152053623928803</v>
      </c>
      <c r="C24" s="1">
        <v>0.21520536234853704</v>
      </c>
      <c r="D24" s="1">
        <v>0.2152053623761761</v>
      </c>
      <c r="E24" s="1">
        <v>0.21520536234960726</v>
      </c>
      <c r="F24" s="1">
        <v>0.21520536235807946</v>
      </c>
      <c r="G24" s="1">
        <v>0.21520536235807946</v>
      </c>
      <c r="H24" s="1">
        <v>0.21520536235807946</v>
      </c>
      <c r="I24" s="1">
        <v>0.21520536235807946</v>
      </c>
      <c r="J24" s="1">
        <v>0.21520536235807946</v>
      </c>
      <c r="K24" s="1">
        <v>0.21520536235807946</v>
      </c>
    </row>
    <row r="25">
      <c r="A25" s="0" t="inlineStr">
        <is>
          <t xml:space="preserve">da</t>
        </is>
      </c>
      <c r="B25" s="1">
        <v>0.006840089877460703</v>
      </c>
      <c r="C25" s="1">
        <v>0.006840089875193313</v>
      </c>
      <c r="D25" s="1">
        <v>0.00684008989837887</v>
      </c>
      <c r="E25" s="1">
        <v>0.00684008989116829</v>
      </c>
      <c r="F25" s="1">
        <v>0.006840089928090286</v>
      </c>
      <c r="G25" s="1">
        <v>0.006840089928090286</v>
      </c>
      <c r="H25" s="1">
        <v>0.006840089928090286</v>
      </c>
      <c r="I25" s="1">
        <v>0.006840089928090286</v>
      </c>
      <c r="J25" s="1">
        <v>0.006840089928090286</v>
      </c>
      <c r="K25" s="1">
        <v>0.006840089928090286</v>
      </c>
    </row>
    <row r="26">
      <c r="A26" s="0" t="inlineStr">
        <is>
          <t xml:space="preserve">cash</t>
        </is>
      </c>
      <c r="B26" s="1">
        <v>0.4928637577580541</v>
      </c>
      <c r="C26" s="1">
        <v>0.4928637577518526</v>
      </c>
      <c r="D26" s="1">
        <v>0.4928637577105322</v>
      </c>
      <c r="E26" s="1">
        <v>0.4928637577590895</v>
      </c>
      <c r="F26" s="1">
        <v>0.49286375772465796</v>
      </c>
      <c r="G26" s="1">
        <v>0.49286375772465796</v>
      </c>
      <c r="H26" s="1">
        <v>0.49286375772465796</v>
      </c>
      <c r="I26" s="1">
        <v>0.49286375772465796</v>
      </c>
      <c r="J26" s="1">
        <v>0.49286375772465796</v>
      </c>
      <c r="K26" s="1">
        <v>0.49286375772465796</v>
      </c>
    </row>
    <row r="27">
      <c r="A27" s="0" t="inlineStr">
        <is>
          <t xml:space="preserve">receivables</t>
        </is>
      </c>
      <c r="B27" s="1">
        <v>0.08788917617476754</v>
      </c>
      <c r="C27" s="1">
        <v>0.08788917615925765</v>
      </c>
      <c r="D27" s="1">
        <v>0.08788917613741301</v>
      </c>
      <c r="E27" s="1">
        <v>0.08788917614669062</v>
      </c>
      <c r="F27" s="1">
        <v>0.0878891761682322</v>
      </c>
      <c r="G27" s="1">
        <v>0.0878891761682322</v>
      </c>
      <c r="H27" s="1">
        <v>0.0878891761682322</v>
      </c>
      <c r="I27" s="1">
        <v>0.0878891761682322</v>
      </c>
      <c r="J27" s="1">
        <v>0.0878891761682322</v>
      </c>
      <c r="K27" s="1">
        <v>0.0878891761682322</v>
      </c>
    </row>
    <row r="28">
      <c r="A28" s="0" t="inlineStr">
        <is>
          <t xml:space="preserve">inventories</t>
        </is>
      </c>
      <c r="B28" s="1">
        <v>0.009296566811512715</v>
      </c>
      <c r="C28" s="1">
        <v>0.01850670748513979</v>
      </c>
      <c r="D28" s="1">
        <v>0.02763122546123208</v>
      </c>
      <c r="E28" s="1">
        <v>0.036670916821734907</v>
      </c>
      <c r="F28" s="1">
        <v>0.04562657004528173</v>
      </c>
      <c r="G28" s="1">
        <v>0.04562657004528173</v>
      </c>
      <c r="H28" s="1">
        <v>0.04562657004528173</v>
      </c>
      <c r="I28" s="1">
        <v>0.04562657004528173</v>
      </c>
      <c r="J28" s="1">
        <v>0.04562657004528173</v>
      </c>
      <c r="K28" s="1">
        <v>0.04562657004528173</v>
      </c>
    </row>
    <row r="29">
      <c r="A29" s="0" t="inlineStr">
        <is>
          <t xml:space="preserve">payables</t>
        </is>
      </c>
      <c r="B29" s="1">
        <v>0.00849921109100583</v>
      </c>
      <c r="C29" s="1">
        <v>0.008499211092528545</v>
      </c>
      <c r="D29" s="1">
        <v>0.008499211080016577</v>
      </c>
      <c r="E29" s="1">
        <v>0.00849921114803865</v>
      </c>
      <c r="F29" s="1">
        <v>0.008499211116283616</v>
      </c>
      <c r="G29" s="1">
        <v>0.008499211116283616</v>
      </c>
      <c r="H29" s="1">
        <v>0.008499211116283616</v>
      </c>
      <c r="I29" s="1">
        <v>0.008499211116283616</v>
      </c>
      <c r="J29" s="1">
        <v>0.008499211116283616</v>
      </c>
      <c r="K29" s="1">
        <v>0.008499211116283616</v>
      </c>
    </row>
    <row r="30">
      <c r="A30" s="0" t="inlineStr">
        <is>
          <t xml:space="preserve">ebit</t>
        </is>
      </c>
      <c r="B30" s="1">
        <f>B24-B25</f>
        <v>0.2083652725154196</v>
      </c>
      <c r="C30" s="1">
        <f>C24-C25</f>
        <v>0.20836527247334374</v>
      </c>
      <c r="D30" s="1">
        <f>D24-D25</f>
        <v>0.2083652724777972</v>
      </c>
      <c r="E30" s="1">
        <f>E24-E25</f>
        <v>0.20836527245843897</v>
      </c>
      <c r="F30" s="1">
        <f>F24-F25</f>
        <v>0.20836527242998915</v>
      </c>
      <c r="G30" s="1">
        <f>G24-G25</f>
        <v>0.20836527242998915</v>
      </c>
      <c r="H30" s="1">
        <f>H24-H25</f>
        <v>0.20836527242998915</v>
      </c>
      <c r="I30" s="1">
        <f>I24-I25</f>
        <v>0.20836527242998915</v>
      </c>
      <c r="J30" s="1">
        <f>J24-J25</f>
        <v>0.20836527242998915</v>
      </c>
      <c r="K30" s="1">
        <f>K24-K25</f>
        <v>0.20836527242998915</v>
      </c>
    </row>
    <row r="31">
      <c r="A31" s="0" t="inlineStr">
        <is>
          <t xml:space="preserve">Per-field input provenance</t>
        </is>
      </c>
      <c r="B31" s="0" t="inlineStr">
        <is>
          <t xml:space="preserve">{"growth": "fmp", "capex": "fmp", "tax": "derived-fmp", "beta": "fmp", "rf": "fmp", "erp": "fmp", "kd": "fmp", "ke": "fmp", "debtWeight": "fmp", "ebitda": "fmp", "da": "fmp", "cash": "fmp", "receivables": "fmp", "inventories": "fmp", "payables": "fmp", "ebit": "derived"}</t>
        </is>
      </c>
      <c r="C31" s="0" t="inlineStr">
        <is>
          <t xml:space="preserve">{"growth": "fmp", "capex": "fmp", "tax": "derived-fmp", "beta": "fmp", "rf": "fmp", "erp": "fmp", "kd": "fmp", "ke": "fmp", "debtWeight": "fmp", "ebitda": "fmp", "da": "fmp", "cash": "fmp", "receivables": "fmp", "inventories": "fmp", "payables": "fmp", "ebit": "derived"}</t>
        </is>
      </c>
      <c r="D31" s="0" t="inlineStr">
        <is>
          <t xml:space="preserve">{"growth": "fmp", "capex": "fmp", "tax": "derived-fmp", "beta": "fmp", "rf": "fmp", "erp": "fmp", "kd": "fmp", "ke": "fmp", "debtWeight": "fmp", "ebitda": "fmp", "da": "fmp", "cash": "fmp", "receivables": "fmp", "inventories": "fmp", "payables": "fmp", "ebit": "derived"}</t>
        </is>
      </c>
      <c r="E31" s="0" t="inlineStr">
        <is>
          <t xml:space="preserve">{"growth": "fmp", "capex": "fmp", "tax": "derived-fmp", "beta": "fmp", "rf": "fmp", "erp": "fmp", "kd": "fmp", "ke": "fmp", "debtWeight": "fmp", "ebitda": "fmp", "da": "fmp", "cash": "fmp", "receivables": "fmp", "inventories": "fmp", "payables": "fmp", "ebit": "derived"}</t>
        </is>
      </c>
      <c r="F31" s="0" t="inlineStr">
        <is>
          <t xml:space="preserve">{"growth": "fmp", "capex": "fmp", "tax": "derived-fmp", "beta": "fmp", "rf": "fmp", "erp": "fmp", "kd": "fmp", "ke": "fmp", "debtWeight": "fmp", "ebitda": "fmp", "da": "fmp", "cash": "fmp", "receivables": "fmp", "inventories": "fmp", "payables": "fmp", "ebit": "derived"}</t>
        </is>
      </c>
      <c r="G31" s="0" t="inlineStr">
        <is>
          <t xml:space="preserve">{"growth": "extension", "capex": "extension", "tax": "extension", "beta": "extension", "rf": "extension", "erp": "extension", "kd": "extension", "ke": "extension", "debtWeight": "extension", "ebitda": "extension", "da": "extension", "cash": "extension", "receivables": "extension", "inventories": "extension", "payables": "extension", "ebit": "derived"}</t>
        </is>
      </c>
      <c r="H31" s="0" t="inlineStr">
        <is>
          <t xml:space="preserve">{"growth": "extension", "capex": "extension", "tax": "extension", "beta": "extension", "rf": "extension", "erp": "extension", "kd": "extension", "ke": "extension", "debtWeight": "extension", "ebitda": "extension", "da": "extension", "cash": "extension", "receivables": "extension", "inventories": "extension", "payables": "extension", "ebit": "derived"}</t>
        </is>
      </c>
      <c r="I31" s="0" t="inlineStr">
        <is>
          <t xml:space="preserve">{"growth": "extension", "capex": "extension", "tax": "extension", "beta": "extension", "rf": "extension", "erp": "extension", "kd": "extension", "ke": "extension", "debtWeight": "extension", "ebitda": "extension", "da": "extension", "cash": "extension", "receivables": "extension", "inventories": "extension", "payables": "extension", "ebit": "derived"}</t>
        </is>
      </c>
      <c r="J31" s="0" t="inlineStr">
        <is>
          <t xml:space="preserve">{"growth": "extension", "capex": "extension", "tax": "extension", "beta": "extension", "rf": "extension", "erp": "extension", "kd": "extension", "ke": "extension", "debtWeight": "extension", "ebitda": "extension", "da": "extension", "cash": "extension", "receivables": "extension", "inventories": "extension", "payables": "extension", "ebit": "derived"}</t>
        </is>
      </c>
      <c r="K31" s="0" t="inlineStr">
        <is>
          <t xml:space="preserve">{"growth": "extension", "capex": "extension", "tax": "extension", "beta": "extension", "rf": "extension", "erp": "extension", "kd": "extension", "ke": "extension", "debtWeight": "extension", "ebitda": "extension", "da": "extension", "cash": "extension", "receivables": "extension", "inventories": "extension", "payables": "extension", "ebit": "derived"}</t>
        </is>
      </c>
    </row>
    <row r="32">
      <c r="A32" s="0" t="inlineStr">
        <is>
          <t xml:space="preserve">ke override (blank = initial Ke / changed CAPM)</t>
        </is>
      </c>
    </row>
    <row r="33">
      <c r="A33" s="0" t="inlineStr">
        <is>
          <t xml:space="preserve">Calculated outputs</t>
        </is>
      </c>
    </row>
    <row r="34">
      <c r="A34" s="0" t="inlineStr">
        <is>
          <t xml:space="preserve">revenue</t>
        </is>
      </c>
      <c r="B34" s="0">
        <f>$B$6*(1+B15)</f>
        <v>13866141191.000000264945000000</v>
      </c>
      <c r="C34" s="0">
        <f>B34*(1+C15)</f>
        <v>13780510888.000000446456073248648746749080000000</v>
      </c>
      <c r="D34" s="0">
        <f>C34*(1+D15)</f>
        <v>13726738741.000001033561778550344626559854508823347</v>
      </c>
      <c r="E34" s="0">
        <f>D34*(1+E15)</f>
        <v>13692894902.000000519339264003119504733480749858435</v>
      </c>
      <c r="F34" s="0">
        <f>E34*(1+F15)</f>
        <v>13671563091.000000857795682553984698518059357462866</v>
      </c>
      <c r="G34" s="0">
        <f>F34*(1+G15)</f>
        <v>13709210480.390521910005000681195070932493301288560</v>
      </c>
      <c r="H34" s="0">
        <f>G34*(1+H15)</f>
        <v>13806069827.060101108008551407571869291118801317761</v>
      </c>
      <c r="I34" s="0">
        <f>H34*(1+I15)</f>
        <v>13963139415.655547850445381253371867514069777441629</v>
      </c>
      <c r="J34" s="0">
        <f>I34*(1+J15)</f>
        <v>14182199082.701872781380819564362573397146966556279</v>
      </c>
      <c r="K34" s="0">
        <f>J34*(1+K15)</f>
        <v>14465843064.355910237008435955649824865089905887405</v>
      </c>
    </row>
    <row r="35">
      <c r="A35" s="0" t="inlineStr">
        <is>
          <t xml:space="preserve">ebitda</t>
        </is>
      </c>
      <c r="B35" s="0">
        <f>B34*B24</f>
        <v>2984067939.99999990998002203918167108350000</v>
      </c>
      <c r="C35" s="0">
        <f>C34*C24</f>
        <v>2965639839.000000026671032536180447815089302758594</v>
      </c>
      <c r="D35" s="0">
        <f>D34*D24</f>
        <v>2954067785.0000005097363271910919895477005995139031</v>
      </c>
      <c r="E35" s="0">
        <f>E34*E24</f>
        <v>2946784409.0000001039207830121696792439766797957452</v>
      </c>
      <c r="F35" s="0">
        <f>F34*F24</f>
        <v>2942193689.000000055583441553226376386302089253893</v>
      </c>
      <c r="G35" s="0">
        <f>G34*G24</f>
        <v>2950295609.0756228548561362680595910738648616205485</v>
      </c>
      <c r="H35" s="0">
        <f>H34*H24</f>
        <v>2971140259.8734164831015557970632174352174798895492</v>
      </c>
      <c r="I35" s="0">
        <f>I34*I24</f>
        <v>3004942477.6025340643260742541515493476829480462149</v>
      </c>
      <c r="J35" s="0">
        <f>J34*J24</f>
        <v>3052085292.6272786591413880807508718311489682312067</v>
      </c>
      <c r="K35" s="0">
        <f>K34*K24</f>
        <v>3113126998.4798242323242158423658892677719475958309</v>
      </c>
    </row>
    <row r="36">
      <c r="A36" s="0" t="inlineStr">
        <is>
          <t xml:space="preserve">da</t>
        </is>
      </c>
      <c r="B36" s="0">
        <f>B34*B25</f>
        <v>94845651.9999999981643648855838259563350000</v>
      </c>
      <c r="C36" s="0">
        <f>C34*C25</f>
        <v>94259933.000000013955091610346646412957737308745305</v>
      </c>
      <c r="D36" s="0">
        <f>D34*D25</f>
        <v>93892126.99999999499445815081271091559001238681706</v>
      </c>
      <c r="E36" s="0">
        <f>E34*E25</f>
        <v>93660632.000000016517384829794517521531493307801378</v>
      </c>
      <c r="F36" s="0">
        <f>F34*F25</f>
        <v>93514721.000000004060633634596842993594563399578303</v>
      </c>
      <c r="G36" s="0">
        <f>G34*G25</f>
        <v>93772232.52898900020072106625024225518009537624556</v>
      </c>
      <c r="H36" s="0">
        <f>H34*H25</f>
        <v>94434759.170584994259956880909440226146698246535868</v>
      </c>
      <c r="I36" s="0">
        <f>I34*I25</f>
        <v>95509129.281545994374435379418534238713381015398063</v>
      </c>
      <c r="J36" s="0">
        <f>J34*J25</f>
        <v>97007517.103760373065041111120521534709173749179092</v>
      </c>
      <c r="K36" s="0">
        <f>K34*K25</f>
        <v>98947667.445835580526341933342931965403357224162676</v>
      </c>
    </row>
    <row r="37">
      <c r="A37" s="0" t="inlineStr">
        <is>
          <t xml:space="preserve">ebit</t>
        </is>
      </c>
      <c r="B37" s="0">
        <f>B35-B36</f>
        <v>2889222287.9999999118156571535978451271650000</v>
      </c>
      <c r="C37" s="0">
        <f>C35-C36</f>
        <v>2871379906.0000000127159409258338014021315654498487</v>
      </c>
      <c r="D37" s="0">
        <f>D35-D36</f>
        <v>2860175658.0000005147418690402792786321105871270860</v>
      </c>
      <c r="E37" s="0">
        <f>E35-E36</f>
        <v>2853123777.0000000874033981823751617224451864879438</v>
      </c>
      <c r="F37" s="0">
        <f>F35-F36</f>
        <v>2848678968.0000000515228079186295333927075258543147</v>
      </c>
      <c r="G37" s="0">
        <f>G35-G36</f>
        <v>2856523376.5466338546554152018093488186847662443029</v>
      </c>
      <c r="H37" s="0">
        <f>H35-H36</f>
        <v>2876705500.7028314888415989161537772090707816430133</v>
      </c>
      <c r="I37" s="0">
        <f>I35-I36</f>
        <v>2909433348.3209880699516388747330151089695670308168</v>
      </c>
      <c r="J37" s="0">
        <f>J35-J36</f>
        <v>2955077775.5235182860763469696303502964397944820276</v>
      </c>
      <c r="K37" s="0">
        <f>K35-K36</f>
        <v>3014179331.0339886517978739090229573023685903716682</v>
      </c>
    </row>
    <row r="38">
      <c r="A38" s="0" t="inlineStr">
        <is>
          <t xml:space="preserve">nopat</t>
        </is>
      </c>
      <c r="B38" s="0">
        <f>B37*(1-B17)</f>
        <v>2796490477.5542883198254633496600710106756017844774</v>
      </c>
      <c r="C38" s="0">
        <f>C37*(1-C17)</f>
        <v>2779220760.4371964114598867079682484352964539244419</v>
      </c>
      <c r="D38" s="0">
        <f>D37*(1-D17)</f>
        <v>2768376121.0898243825547164724392250046628245645601</v>
      </c>
      <c r="E38" s="0">
        <f>E37*(1-E17)</f>
        <v>2761550576.1957669239477799571739305985585180173069</v>
      </c>
      <c r="F38" s="0">
        <f>F37*(1-F17)</f>
        <v>2757248426.1519025980210698862164813465703685445206</v>
      </c>
      <c r="G38" s="0">
        <f>G37*(1-G17)</f>
        <v>2764841062.3746089633431568651558119936976362396391</v>
      </c>
      <c r="H38" s="0">
        <f>H37*(1-H17)</f>
        <v>2784375425.7378302489686362327701683924150439131308</v>
      </c>
      <c r="I38" s="0">
        <f>I37*(1-I17)</f>
        <v>2816052847.9220001872555976502857923723002636901728</v>
      </c>
      <c r="J38" s="0">
        <f>J37*(1-J17)</f>
        <v>2860232282.1371305762227164773573804394663970465148</v>
      </c>
      <c r="K38" s="0">
        <f>K37*(1-K17)</f>
        <v>2917436927.7798731877471708069045280482557249874451</v>
      </c>
    </row>
    <row r="39">
      <c r="A39" s="0" t="inlineStr">
        <is>
          <t xml:space="preserve">cfo</t>
        </is>
      </c>
    </row>
    <row r="40">
      <c r="A40" s="0" t="inlineStr">
        <is>
          <t xml:space="preserve">capex</t>
        </is>
      </c>
      <c r="B40" s="0">
        <f>B34*B16</f>
        <v>-4956042061.00000020341856048449624733850000</v>
      </c>
      <c r="C40" s="0">
        <f>C34*C16</f>
        <v>-4925436042.0000003923113381160843736161277415552213</v>
      </c>
      <c r="D40" s="0">
        <f>D34*D16</f>
        <v>-4906216778.0000000165669095978793859466139958852306</v>
      </c>
      <c r="E40" s="0">
        <f>E34*E16</f>
        <v>-4894120298.9999997341405664389447956172358339274611</v>
      </c>
      <c r="F40" s="0">
        <f>F34*F16</f>
        <v>-4886495874.0000005105116112926534087401768009995758</v>
      </c>
      <c r="G40" s="0">
        <f>G34*G16</f>
        <v>-4899951819.8709416333190259667060822629788233306238</v>
      </c>
      <c r="H40" s="0">
        <f>H34*H16</f>
        <v>-4934571328.6066186818880391990224292179878601333063</v>
      </c>
      <c r="I40" s="0">
        <f>I34*I16</f>
        <v>-4990711207.5285677679022897949805696782397115252985</v>
      </c>
      <c r="J40" s="0">
        <f>J34*J16</f>
        <v>-5069007606.5618537407292826766690849226627822952286</v>
      </c>
      <c r="K40" s="0">
        <f>K34*K16</f>
        <v>-5170387758.6930908155438683302024666211160379411333</v>
      </c>
    </row>
    <row r="41">
      <c r="A41" s="0" t="inlineStr">
        <is>
          <t xml:space="preserve">nwc</t>
        </is>
      </c>
      <c r="B41" s="0">
        <f>B34*(B27+B28-B29)</f>
        <v>1229739973.0000000262383933679934825316250000</v>
      </c>
      <c r="C41" s="0">
        <f>C34*(C27+C28-C29)</f>
        <v>1349066162.0000000960025927716161606134765951733096</v>
      </c>
      <c r="D41" s="0">
        <f>D34*(D27+D28-D29)</f>
        <v>1469051922.0000000021973341480089651477417650714177</v>
      </c>
      <c r="E41" s="0">
        <f>E34*(E27+E28-E29)</f>
        <v>1589209457.0000000080159739981527533666491747711976</v>
      </c>
      <c r="F41" s="0">
        <f>F34*(F27+F28-F29)</f>
        <v>1709171447.0000001644473846282628610143156699824401</v>
      </c>
      <c r="G41" s="0">
        <f>G34*(G27+G28-G29)</f>
        <v>1713877993.1770593357308683057693133848623420798254</v>
      </c>
      <c r="H41" s="0">
        <f>H34*(H27+H28-H29)</f>
        <v>1725987013.0894715816638691749474272302919336428424</v>
      </c>
      <c r="I41" s="0">
        <f>I34*(I27+I28-I29)</f>
        <v>1745623308.824821775599345204391337402203127561133</v>
      </c>
      <c r="J41" s="0">
        <f>J34*(J27+J28-J29)</f>
        <v>1773009389.3785062431606576363185288496148088658795</v>
      </c>
      <c r="K41" s="0">
        <f>K34*(K27+K28-K29)</f>
        <v>1808469577.1660763680238707890448994266071050431972</v>
      </c>
    </row>
    <row r="42">
      <c r="A42" s="0" t="inlineStr">
        <is>
          <t xml:space="preserve">changeNwc</t>
        </is>
      </c>
      <c r="B42" s="0">
        <f>B41-$B$7</f>
        <v>271739973.0000000262383933679934825316250000</v>
      </c>
      <c r="C42" s="0">
        <f>C41-B41</f>
        <v>119326189.0000000697641994036226780818515951733096</v>
      </c>
      <c r="D42" s="0">
        <f>D41-C41</f>
        <v>119985759.9999999061947413763928045342651698981081</v>
      </c>
      <c r="E42" s="0">
        <f>E41-D41</f>
        <v>120157535.0000000058186398501437882189074096997799</v>
      </c>
      <c r="F42" s="0">
        <f>F41-E41</f>
        <v>119961990.0000001564314106301101076476664952112425</v>
      </c>
      <c r="G42" s="0">
        <f>G41-F41</f>
        <v>4706546.1770591712834836775064523705466720973853</v>
      </c>
      <c r="H42" s="0">
        <f>H41-G41</f>
        <v>12109019.9124122459330008691781138454295915630170</v>
      </c>
      <c r="I42" s="0">
        <f>I41-H41</f>
        <v>19636295.7353501939354760294439101719111939182906</v>
      </c>
      <c r="J42" s="0">
        <f>J41-I41</f>
        <v>27386080.5536844675613124319271914474116813047465</v>
      </c>
      <c r="K42" s="0">
        <f>K41-J41</f>
        <v>35460187.7875701248632131527263705769922961773177</v>
      </c>
    </row>
    <row r="43">
      <c r="A43" s="0" t="inlineStr">
        <is>
          <t xml:space="preserve">projectedCash</t>
        </is>
      </c>
      <c r="B43" s="0">
        <f>B34*B26</f>
        <v>6834118452.99999989859822139920764352450000</v>
      </c>
      <c r="C43" s="0">
        <f>C34*C26</f>
        <v>6791914379.9999993765131267324653759538801118235973</v>
      </c>
      <c r="D43" s="0">
        <f>D34*D26</f>
        <v>6765412037.0000003228731022023037906403410568598163</v>
      </c>
      <c r="E43" s="0">
        <f>E34*E26</f>
        <v>6748731635.999999814675230208417321065418589350791</v>
      </c>
      <c r="F43" s="0">
        <f>F34*F26</f>
        <v>6738217959.000000329311757823544723248501208767466</v>
      </c>
      <c r="G43" s="0">
        <f>G34*G26</f>
        <v>6756772992.8035359556862961351608892931035723144085</v>
      </c>
      <c r="H43" s="0">
        <f>H34*H26</f>
        <v>6804511454.373860093387883101186726271899898504697</v>
      </c>
      <c r="I43" s="0">
        <f>I34*I26</f>
        <v>6881925362.0332780556083260958203626115813815041712</v>
      </c>
      <c r="J43" s="0">
        <f>J34*J26</f>
        <v>6989891932.6996421855520007961657919233451781564078</v>
      </c>
      <c r="K43" s="0">
        <f>K34*K26</f>
        <v>7129689771.3536350292630408120891077618120817195362</v>
      </c>
    </row>
    <row r="44">
      <c r="A44" s="0" t="inlineStr">
        <is>
          <t xml:space="preserve">wacc</t>
        </is>
      </c>
      <c r="B44" s="1">
        <f>B22*(1-B23)+B21*(1-B17)*B23</f>
        <v>0.0746469515341282547427228</v>
      </c>
      <c r="C44" s="1">
        <f>C22*(1-C23)+C21*(1-C17)*C23</f>
        <v>0.07464695153361016323196524</v>
      </c>
      <c r="D44" s="1">
        <f>D22*(1-D23)+D21*(1-D17)*D23</f>
        <v>0.07464695153174553670929</v>
      </c>
      <c r="E44" s="1">
        <f>E22*(1-E23)+E21*(1-E17)*E23</f>
        <v>0.07464695153524700510585496</v>
      </c>
      <c r="F44" s="1">
        <f>F22*(1-F23)+F21*(1-F17)*F23</f>
        <v>0.07464695153147658264122076</v>
      </c>
      <c r="G44" s="1">
        <f>G22*(1-G23)+G21*(1-G17)*G23</f>
        <v>0.07464695153147658264122076</v>
      </c>
      <c r="H44" s="1">
        <f>H22*(1-H23)+H21*(1-H17)*H23</f>
        <v>0.07464695153147658264122076</v>
      </c>
      <c r="I44" s="1">
        <f>I22*(1-I23)+I21*(1-I17)*I23</f>
        <v>0.07464695153147658264122076</v>
      </c>
      <c r="J44" s="1">
        <f>J22*(1-J23)+J21*(1-J17)*J23</f>
        <v>0.07464695153147658264122076</v>
      </c>
      <c r="K44" s="1">
        <f>K22*(1-K23)+K21*(1-K17)*K23</f>
        <v>0.07464695153147658264122076</v>
      </c>
    </row>
    <row r="45">
      <c r="A45" s="0" t="inlineStr">
        <is>
          <t xml:space="preserve">discount</t>
        </is>
      </c>
      <c r="B45" s="0">
        <f>(1+B44)*1</f>
        <v>1.0746469515341282547427228</v>
      </c>
      <c r="C45" s="0">
        <f>(1+C44)*B45</f>
        <v>1.1548660704410382366270783625622350651739932325555</v>
      </c>
      <c r="D45" s="0">
        <f>(1+D44)*C45</f>
        <v>1.2410733020269078447197248750004630874063965417311</v>
      </c>
      <c r="E45" s="0">
        <f>(1+E44)*D45</f>
        <v>1.3337156406549994033127704045184678330638204704698</v>
      </c>
      <c r="F45" s="0">
        <f>(1+F44)*E45</f>
        <v>1.4332734474397453825873534953882043867296054532863</v>
      </c>
      <c r="G45" s="0">
        <f>(1+G44)*F45</f>
        <v>1.5402629410021324054495051411210689461476245670850</v>
      </c>
      <c r="H45" s="0">
        <f>(1+H44)*G45</f>
        <v>1.6552388741048481582673360435535451334757411368090</v>
      </c>
      <c r="I45" s="0">
        <f>(1+I44)*H45</f>
        <v>1.7787974101131686278641046597171943413326160476823</v>
      </c>
      <c r="J45" s="0">
        <f>(1+J44)*I45</f>
        <v>1.9115792141702023996210146376356173997914950142801</v>
      </c>
      <c r="K45" s="0">
        <f>(1+K44)*J45</f>
        <v>2.0542727751189435920007763499706809947098353678446</v>
      </c>
    </row>
    <row r="46">
      <c r="A46" s="0" t="inlineStr">
        <is>
          <t xml:space="preserve">cashFlow</t>
        </is>
      </c>
      <c r="B46" s="0">
        <f>B38+B36+B40-B42</f>
        <v>-2336445904.4457119116671256172458329031143982155226</v>
      </c>
      <c r="C46" s="0">
        <f>C38+C36+C40-C42</f>
        <v>-2171281537.5628040366605592013921568497251454953437</v>
      </c>
      <c r="D46" s="0">
        <f>D38+D36+D40-D42</f>
        <v>-2163934289.9101755452124763510202545606263288319615</v>
      </c>
      <c r="E46" s="0">
        <f>E38+E36+E40-E42</f>
        <v>-2159066625.8042327994940415021201357160532323021327</v>
      </c>
      <c r="F46" s="0">
        <f>F38+F36+F40-F42</f>
        <v>-2155694716.8480980648613184019501920476783642667194</v>
      </c>
      <c r="G46" s="0">
        <f>G38+G36+G40-G42</f>
        <v>-2046045071.1444028410586317128064803846477638121244</v>
      </c>
      <c r="H46" s="0">
        <f>H38+H36+H40-H42</f>
        <v>-2067870163.6106156845924469545209344448557095366566</v>
      </c>
      <c r="I46" s="0">
        <f>I38+I36+I40-I42</f>
        <v>-2098785526.0603717802077327947201532391372607380182</v>
      </c>
      <c r="J46" s="0">
        <f>J38+J36+J40-J42</f>
        <v>-2139153887.8746472590028375201183743958988928042812</v>
      </c>
      <c r="K46" s="0">
        <f>K38+K36+K40-K42</f>
        <v>-2189463351.2549521721335687426813771844492519068432</v>
      </c>
    </row>
    <row r="47">
      <c r="A47" s="0" t="inlineStr">
        <is>
          <t xml:space="preserve">pv</t>
        </is>
      </c>
      <c r="B47" s="0">
        <f>B46/B45</f>
        <v>-2174152079.5367108949987806533664359150811048218786</v>
      </c>
      <c r="C47" s="0">
        <f>C46/C45</f>
        <v>-1880115446.4028900212850623670537836418150356995334</v>
      </c>
      <c r="D47" s="0">
        <f>D46/D45</f>
        <v>-1743599097.9550207514102581918226994850670150565063</v>
      </c>
      <c r="E47" s="0">
        <f>E46/E45</f>
        <v>-1618835799.7690544564536705645333419355341795228253</v>
      </c>
      <c r="F47" s="0">
        <f>F46/F45</f>
        <v>-1504035898.1733826981265148513903106675206626331113</v>
      </c>
      <c r="G47" s="0">
        <f>G46/G45</f>
        <v>-1328373887.7812617640206839329687636658187668731317</v>
      </c>
      <c r="H47" s="0">
        <f>H46/H45</f>
        <v>-1249288061.0533740595592303719604872505375600800595</v>
      </c>
      <c r="I47" s="0">
        <f>I46/I45</f>
        <v>-1179890140.4555368854410429811256188968312453364523</v>
      </c>
      <c r="J47" s="0">
        <f>J46/J45</f>
        <v>-1119050611.1478266783916360716621773735471742274280</v>
      </c>
      <c r="K47" s="0">
        <f>K46/K45</f>
        <v>-1065809457.1341339841850541876807660242906449212004</v>
      </c>
    </row>
    <row r="48">
      <c r="A48" s="0" t="inlineStr">
        <is>
          <t xml:space="preserve">Valuation bridge</t>
        </is>
      </c>
    </row>
    <row r="49">
      <c r="A49" s="0" t="inlineStr">
        <is>
          <t xml:space="preserve">presentFlows</t>
        </is>
      </c>
      <c r="B49" s="0">
        <f>SUM(B47:K47)</f>
        <v>-14863150479.409192193871934173564384856043389172126</v>
      </c>
    </row>
    <row r="50">
      <c r="A50" s="0" t="inlineStr">
        <is>
          <t xml:space="preserve">terminalValue</t>
        </is>
      </c>
      <c r="B50" s="0">
        <f>IF(K44&lt;=$B$10,NA(),K46*(1+$B$10)/(K44-$B$10))</f>
        <v>-40866920398.911917682136370823653105105564586148699</v>
      </c>
    </row>
    <row r="51">
      <c r="A51" s="0" t="inlineStr">
        <is>
          <t xml:space="preserve">presentTerminalValue</t>
        </is>
      </c>
      <c r="B51" s="0">
        <f>B50/K45</f>
        <v>-19893619237.856909802102558254007415636511115741832</v>
      </c>
    </row>
    <row r="52">
      <c r="A52" s="0" t="inlineStr">
        <is>
          <t xml:space="preserve">enterpriseValue</t>
        </is>
      </c>
      <c r="B52" s="0">
        <f>B49+B51</f>
        <v>-34756769717.266101995974492427571800492554504913958</v>
      </c>
    </row>
    <row r="53">
      <c r="A53" s="0" t="inlineStr">
        <is>
          <t xml:space="preserve">netDebt</t>
        </is>
      </c>
      <c r="B53" s="0">
        <f>$B$8</f>
        <v>52515000000</v>
      </c>
    </row>
    <row r="54">
      <c r="A54" s="0" t="inlineStr">
        <is>
          <t xml:space="preserve">equityValue</t>
        </is>
      </c>
      <c r="B54" s="0">
        <f>B52-$B$8</f>
        <v>-87271769717.266101995974492427571800492554504913958</v>
      </c>
    </row>
    <row r="55">
      <c r="A55" s="0" t="inlineStr">
        <is>
          <t xml:space="preserve">targetPrice</t>
        </is>
      </c>
      <c r="B55" s="0">
        <f>B54/$B$9</f>
        <v>-33.217115643294654655755936084048979043555446894726</v>
      </c>
    </row>
    <row r="56">
      <c r="A56" s="0" t="inlineStr">
        <is>
          <t xml:space="preserve">Interpretation</t>
        </is>
      </c>
      <c r="B56" s="0" t="inlineStr">
        <is>
          <t xml:space="preserve">Negative equity/terminal cash flow is retained for review, not a tradable negative share price.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54" customWidth="1"/>
    <col min="2" max="30" width="22" customWidth="1"/>
  </cols>
  <sheetData>
    <row r="1">
      <c r="A1" s="0" t="inlineStr">
        <is>
          <t xml:space="preserve">0823.HK: ORIGINAL FMP API customLevered</t>
        </is>
      </c>
    </row>
    <row r="2">
      <c r="A2" s="0" t="inlineStr">
        <is>
          <t xml:space="preserve">Raw API units retained. WACC/rate fields are percentage points; amount ratio fields retain API units.</t>
        </is>
      </c>
    </row>
    <row r="3">
      <c r="A3" s="0" t="inlineStr">
        <is>
          <t xml:space="preserve">Source captured</t>
        </is>
      </c>
      <c r="B3" s="0" t="inlineStr">
        <is>
          <t xml:space="preserve">2026-10-18T06:56:02.514Z</t>
        </is>
      </c>
    </row>
    <row r="4">
      <c r="A4" s="0" t="inlineStr">
        <is>
          <t xml:space="preserve">Model year (NOT point-in-time history)</t>
        </is>
      </c>
      <c r="B4" s="0" t="inlineStr">
        <is>
          <t xml:space="preserve">2022</t>
        </is>
      </c>
      <c r="C4" s="0" t="inlineStr">
        <is>
          <t xml:space="preserve">2023</t>
        </is>
      </c>
      <c r="D4" s="0" t="inlineStr">
        <is>
          <t xml:space="preserve">2024</t>
        </is>
      </c>
      <c r="E4" s="0" t="inlineStr">
        <is>
          <t xml:space="preserve">2025</t>
        </is>
      </c>
      <c r="F4" s="0" t="inlineStr">
        <is>
          <t xml:space="preserve">2026</t>
        </is>
      </c>
      <c r="G4" s="0" t="inlineStr">
        <is>
          <t xml:space="preserve">2027</t>
        </is>
      </c>
      <c r="H4" s="0" t="inlineStr">
        <is>
          <t xml:space="preserve">2028</t>
        </is>
      </c>
      <c r="I4" s="0" t="inlineStr">
        <is>
          <t xml:space="preserve">2029</t>
        </is>
      </c>
      <c r="J4" s="0" t="inlineStr">
        <is>
          <t xml:space="preserve">2030</t>
        </is>
      </c>
      <c r="K4" s="0" t="inlineStr">
        <is>
          <t xml:space="preserve">2031</t>
        </is>
      </c>
    </row>
    <row r="5">
      <c r="A5" s="0" t="inlineStr">
        <is>
          <t xml:space="preserve">symbol</t>
        </is>
      </c>
      <c r="B5" s="0" t="inlineStr">
        <is>
          <t xml:space="preserve">0823.HK</t>
        </is>
      </c>
      <c r="C5" s="0" t="inlineStr">
        <is>
          <t xml:space="preserve">0823.HK</t>
        </is>
      </c>
      <c r="D5" s="0" t="inlineStr">
        <is>
          <t xml:space="preserve">0823.HK</t>
        </is>
      </c>
      <c r="E5" s="0" t="inlineStr">
        <is>
          <t xml:space="preserve">0823.HK</t>
        </is>
      </c>
      <c r="F5" s="0" t="inlineStr">
        <is>
          <t xml:space="preserve">0823.HK</t>
        </is>
      </c>
      <c r="G5" s="0" t="inlineStr">
        <is>
          <t xml:space="preserve">0823.HK</t>
        </is>
      </c>
      <c r="H5" s="0" t="inlineStr">
        <is>
          <t xml:space="preserve">0823.HK</t>
        </is>
      </c>
      <c r="I5" s="0" t="inlineStr">
        <is>
          <t xml:space="preserve">0823.HK</t>
        </is>
      </c>
      <c r="J5" s="0" t="inlineStr">
        <is>
          <t xml:space="preserve">0823.HK</t>
        </is>
      </c>
      <c r="K5" s="0" t="inlineStr">
        <is>
          <t xml:space="preserve">0823.HK</t>
        </is>
      </c>
    </row>
    <row r="6">
      <c r="A6" s="0" t="inlineStr">
        <is>
          <t xml:space="preserve">revenue</t>
        </is>
      </c>
      <c r="B6" s="0">
        <v>11689000000</v>
      </c>
      <c r="C6" s="0">
        <v>12340000000</v>
      </c>
      <c r="D6" s="0">
        <v>13578000000</v>
      </c>
      <c r="E6" s="0">
        <v>14223000000</v>
      </c>
      <c r="F6" s="0">
        <v>14003000000</v>
      </c>
      <c r="G6" s="0">
        <v>13866141191</v>
      </c>
      <c r="H6" s="0">
        <v>13780510888</v>
      </c>
      <c r="I6" s="0">
        <v>13726738741</v>
      </c>
      <c r="J6" s="0">
        <v>13692894902</v>
      </c>
      <c r="K6" s="0">
        <v>13671563091</v>
      </c>
    </row>
    <row r="7">
      <c r="A7" s="0" t="inlineStr">
        <is>
          <t xml:space="preserve">revenuePercentage</t>
        </is>
      </c>
      <c r="B7" s="0">
        <v>0</v>
      </c>
      <c r="C7" s="0">
        <v>5.57</v>
      </c>
      <c r="D7" s="0">
        <v>10.03</v>
      </c>
      <c r="E7" s="0">
        <v>4.75</v>
      </c>
      <c r="F7" s="0">
        <v>-1.55</v>
      </c>
      <c r="G7" s="0">
        <v>-0.97735</v>
      </c>
      <c r="H7" s="0">
        <v>-0.61755</v>
      </c>
      <c r="I7" s="0">
        <v>-0.3902</v>
      </c>
      <c r="J7" s="0">
        <v>-0.24655</v>
      </c>
      <c r="K7" s="0">
        <v>-0.15579</v>
      </c>
    </row>
    <row r="8">
      <c r="A8" s="0" t="inlineStr">
        <is>
          <t xml:space="preserve">capitalExpenditure</t>
        </is>
      </c>
      <c r="B8" s="0">
        <v>-9038000000</v>
      </c>
      <c r="C8" s="0">
        <v>-17433000000</v>
      </c>
      <c r="D8" s="0">
        <v>-85000000</v>
      </c>
      <c r="E8" s="0">
        <v>-69000000</v>
      </c>
      <c r="F8" s="0">
        <v>-39000000</v>
      </c>
      <c r="G8" s="0">
        <v>-4956042061</v>
      </c>
      <c r="H8" s="0">
        <v>-4925436042</v>
      </c>
      <c r="I8" s="0">
        <v>-4906216778</v>
      </c>
      <c r="J8" s="0">
        <v>-4894120299</v>
      </c>
      <c r="K8" s="0">
        <v>-4886495874</v>
      </c>
    </row>
    <row r="9">
      <c r="A9" s="0" t="inlineStr">
        <is>
          <t xml:space="preserve">capitalExpenditurePercentage</t>
        </is>
      </c>
      <c r="B9" s="0">
        <v>-77.32</v>
      </c>
      <c r="C9" s="0">
        <v>-141.27</v>
      </c>
      <c r="D9" s="0">
        <v>-0.62601</v>
      </c>
      <c r="E9" s="0">
        <v>-0.48513</v>
      </c>
      <c r="F9" s="0">
        <v>-0.27851</v>
      </c>
      <c r="G9" s="0">
        <v>-35.74</v>
      </c>
      <c r="H9" s="0">
        <v>-35.74</v>
      </c>
      <c r="I9" s="0">
        <v>-35.74</v>
      </c>
      <c r="J9" s="0">
        <v>-35.74</v>
      </c>
      <c r="K9" s="0">
        <v>-35.74</v>
      </c>
    </row>
    <row r="10">
      <c r="A10" s="0" t="inlineStr">
        <is>
          <t xml:space="preserve">price</t>
        </is>
      </c>
      <c r="B10" s="0">
        <v>38.2</v>
      </c>
      <c r="C10" s="0">
        <v>38.2</v>
      </c>
      <c r="D10" s="0">
        <v>38.2</v>
      </c>
      <c r="E10" s="0">
        <v>38.2</v>
      </c>
      <c r="F10" s="0">
        <v>38.2</v>
      </c>
      <c r="G10" s="0">
        <v>38.2</v>
      </c>
      <c r="H10" s="0">
        <v>38.2</v>
      </c>
      <c r="I10" s="0">
        <v>38.2</v>
      </c>
      <c r="J10" s="0">
        <v>38.2</v>
      </c>
      <c r="K10" s="0">
        <v>38.2</v>
      </c>
    </row>
    <row r="11">
      <c r="A11" s="0" t="inlineStr">
        <is>
          <t xml:space="preserve">beta</t>
        </is>
      </c>
      <c r="B11" s="0">
        <v>0.875</v>
      </c>
      <c r="C11" s="0">
        <v>0.875</v>
      </c>
      <c r="D11" s="0">
        <v>0.875</v>
      </c>
      <c r="E11" s="0">
        <v>0.875</v>
      </c>
      <c r="F11" s="0">
        <v>0.875</v>
      </c>
      <c r="G11" s="0">
        <v>0.875</v>
      </c>
      <c r="H11" s="0">
        <v>0.875</v>
      </c>
      <c r="I11" s="0">
        <v>0.875</v>
      </c>
      <c r="J11" s="0">
        <v>0.875</v>
      </c>
      <c r="K11" s="0">
        <v>0.875</v>
      </c>
    </row>
    <row r="12">
      <c r="A12" s="0" t="inlineStr">
        <is>
          <t xml:space="preserve">dilutedSharesOutstanding</t>
        </is>
      </c>
      <c r="B12" s="0">
        <v>2588543000</v>
      </c>
      <c r="C12" s="0">
        <v>2588543000</v>
      </c>
      <c r="D12" s="0">
        <v>2588543000</v>
      </c>
      <c r="E12" s="0">
        <v>2588543000</v>
      </c>
      <c r="F12" s="0">
        <v>2588543000</v>
      </c>
      <c r="G12" s="0">
        <v>2588543000</v>
      </c>
      <c r="H12" s="0">
        <v>2588543000</v>
      </c>
      <c r="I12" s="0">
        <v>2588543000</v>
      </c>
      <c r="J12" s="0">
        <v>2588543000</v>
      </c>
      <c r="K12" s="0">
        <v>2588543000</v>
      </c>
    </row>
    <row r="13">
      <c r="A13" s="0" t="inlineStr">
        <is>
          <t xml:space="preserve">costofDebt</t>
        </is>
      </c>
      <c r="B13" s="0">
        <v>4.89</v>
      </c>
      <c r="C13" s="0">
        <v>4.89</v>
      </c>
      <c r="D13" s="0">
        <v>4.89</v>
      </c>
      <c r="E13" s="0">
        <v>4.89</v>
      </c>
      <c r="F13" s="0">
        <v>4.89</v>
      </c>
      <c r="G13" s="0">
        <v>4.89</v>
      </c>
      <c r="H13" s="0">
        <v>4.89</v>
      </c>
      <c r="I13" s="0">
        <v>4.89</v>
      </c>
      <c r="J13" s="0">
        <v>4.89</v>
      </c>
      <c r="K13" s="0">
        <v>4.89</v>
      </c>
    </row>
    <row r="14">
      <c r="A14" s="0" t="inlineStr">
        <is>
          <t xml:space="preserve">taxRate</t>
        </is>
      </c>
      <c r="B14" s="0">
        <v>-8.08</v>
      </c>
      <c r="C14" s="0">
        <v>-8.08</v>
      </c>
      <c r="D14" s="0">
        <v>-8.08</v>
      </c>
      <c r="E14" s="0">
        <v>-8.08</v>
      </c>
      <c r="F14" s="0">
        <v>-8.08</v>
      </c>
      <c r="G14" s="0">
        <v>-8.08</v>
      </c>
      <c r="H14" s="0">
        <v>-8.08</v>
      </c>
      <c r="I14" s="0">
        <v>-8.08</v>
      </c>
      <c r="J14" s="0">
        <v>-8.08</v>
      </c>
      <c r="K14" s="0">
        <v>-8.08</v>
      </c>
    </row>
    <row r="15">
      <c r="A15" s="0" t="inlineStr">
        <is>
          <t xml:space="preserve">afterTaxCostOfDebt</t>
        </is>
      </c>
      <c r="B15" s="0">
        <v>4.89</v>
      </c>
      <c r="C15" s="0">
        <v>4.89</v>
      </c>
      <c r="D15" s="0">
        <v>4.89</v>
      </c>
      <c r="E15" s="0">
        <v>4.89</v>
      </c>
      <c r="F15" s="0">
        <v>4.89</v>
      </c>
      <c r="G15" s="0">
        <v>4.89</v>
      </c>
      <c r="H15" s="0">
        <v>4.89</v>
      </c>
      <c r="I15" s="0">
        <v>4.89</v>
      </c>
      <c r="J15" s="0">
        <v>4.89</v>
      </c>
      <c r="K15" s="0">
        <v>4.89</v>
      </c>
    </row>
    <row r="16">
      <c r="A16" s="0" t="inlineStr">
        <is>
          <t xml:space="preserve">riskFreeRate</t>
        </is>
      </c>
      <c r="B16" s="0">
        <v>4.89</v>
      </c>
      <c r="C16" s="0">
        <v>4.89</v>
      </c>
      <c r="D16" s="0">
        <v>4.89</v>
      </c>
      <c r="E16" s="0">
        <v>4.89</v>
      </c>
      <c r="F16" s="0">
        <v>4.89</v>
      </c>
      <c r="G16" s="0">
        <v>4.89</v>
      </c>
      <c r="H16" s="0">
        <v>4.89</v>
      </c>
      <c r="I16" s="0">
        <v>4.89</v>
      </c>
      <c r="J16" s="0">
        <v>4.89</v>
      </c>
      <c r="K16" s="0">
        <v>4.89</v>
      </c>
    </row>
    <row r="17">
      <c r="A17" s="0" t="inlineStr">
        <is>
          <t xml:space="preserve">marketRiskPremium</t>
        </is>
      </c>
      <c r="B17" s="0">
        <v>4.72</v>
      </c>
      <c r="C17" s="0">
        <v>4.72</v>
      </c>
      <c r="D17" s="0">
        <v>4.72</v>
      </c>
      <c r="E17" s="0">
        <v>4.72</v>
      </c>
      <c r="F17" s="0">
        <v>4.72</v>
      </c>
      <c r="G17" s="0">
        <v>4.72</v>
      </c>
      <c r="H17" s="0">
        <v>4.72</v>
      </c>
      <c r="I17" s="0">
        <v>4.72</v>
      </c>
      <c r="J17" s="0">
        <v>4.72</v>
      </c>
      <c r="K17" s="0">
        <v>4.72</v>
      </c>
    </row>
    <row r="18">
      <c r="A18" s="0" t="inlineStr">
        <is>
          <t xml:space="preserve">costOfEquity</t>
        </is>
      </c>
      <c r="B18" s="0">
        <v>9.02</v>
      </c>
      <c r="C18" s="0">
        <v>9.02</v>
      </c>
      <c r="D18" s="0">
        <v>9.02</v>
      </c>
      <c r="E18" s="0">
        <v>9.02</v>
      </c>
      <c r="F18" s="0">
        <v>9.02</v>
      </c>
      <c r="G18" s="0">
        <v>9.02</v>
      </c>
      <c r="H18" s="0">
        <v>9.02</v>
      </c>
      <c r="I18" s="0">
        <v>9.02</v>
      </c>
      <c r="J18" s="0">
        <v>9.02</v>
      </c>
      <c r="K18" s="0">
        <v>9.02</v>
      </c>
    </row>
    <row r="19">
      <c r="A19" s="0" t="inlineStr">
        <is>
          <t xml:space="preserve">totalDebt</t>
        </is>
      </c>
      <c r="B19" s="0">
        <v>56300000000</v>
      </c>
      <c r="C19" s="0">
        <v>56300000000</v>
      </c>
      <c r="D19" s="0">
        <v>56300000000</v>
      </c>
      <c r="E19" s="0">
        <v>56300000000</v>
      </c>
      <c r="F19" s="0">
        <v>56300000000</v>
      </c>
      <c r="G19" s="0">
        <v>56300000000</v>
      </c>
      <c r="H19" s="0">
        <v>56300000000</v>
      </c>
      <c r="I19" s="0">
        <v>56300000000</v>
      </c>
      <c r="J19" s="0">
        <v>56300000000</v>
      </c>
      <c r="K19" s="0">
        <v>56300000000</v>
      </c>
    </row>
    <row r="20">
      <c r="A20" s="0" t="inlineStr">
        <is>
          <t xml:space="preserve">totalEquity</t>
        </is>
      </c>
      <c r="B20" s="0">
        <v>98882342600</v>
      </c>
      <c r="C20" s="0">
        <v>98882342600</v>
      </c>
      <c r="D20" s="0">
        <v>98882342600</v>
      </c>
      <c r="E20" s="0">
        <v>98882342600</v>
      </c>
      <c r="F20" s="0">
        <v>98882342600</v>
      </c>
      <c r="G20" s="0">
        <v>98882342600</v>
      </c>
      <c r="H20" s="0">
        <v>98882342600</v>
      </c>
      <c r="I20" s="0">
        <v>98882342600</v>
      </c>
      <c r="J20" s="0">
        <v>98882342600</v>
      </c>
      <c r="K20" s="0">
        <v>98882342600</v>
      </c>
    </row>
    <row r="21">
      <c r="A21" s="0" t="inlineStr">
        <is>
          <t xml:space="preserve">totalCapital</t>
        </is>
      </c>
      <c r="B21" s="0">
        <v>155182342600</v>
      </c>
      <c r="C21" s="0">
        <v>155182342600</v>
      </c>
      <c r="D21" s="0">
        <v>155182342600</v>
      </c>
      <c r="E21" s="0">
        <v>155182342600</v>
      </c>
      <c r="F21" s="0">
        <v>155182342600</v>
      </c>
      <c r="G21" s="0">
        <v>155182342600</v>
      </c>
      <c r="H21" s="0">
        <v>155182342600</v>
      </c>
      <c r="I21" s="0">
        <v>155182342600</v>
      </c>
      <c r="J21" s="0">
        <v>155182342600</v>
      </c>
      <c r="K21" s="0">
        <v>155182342600</v>
      </c>
    </row>
    <row r="22">
      <c r="A22" s="0" t="inlineStr">
        <is>
          <t xml:space="preserve">debtWeighting</t>
        </is>
      </c>
      <c r="B22" s="0">
        <v>36.28</v>
      </c>
      <c r="C22" s="0">
        <v>36.28</v>
      </c>
      <c r="D22" s="0">
        <v>36.28</v>
      </c>
      <c r="E22" s="0">
        <v>36.28</v>
      </c>
      <c r="F22" s="0">
        <v>36.28</v>
      </c>
      <c r="G22" s="0">
        <v>36.28</v>
      </c>
      <c r="H22" s="0">
        <v>36.28</v>
      </c>
      <c r="I22" s="0">
        <v>36.28</v>
      </c>
      <c r="J22" s="0">
        <v>36.28</v>
      </c>
      <c r="K22" s="0">
        <v>36.28</v>
      </c>
    </row>
    <row r="23">
      <c r="A23" s="0" t="inlineStr">
        <is>
          <t xml:space="preserve">equityWeighting</t>
        </is>
      </c>
      <c r="B23" s="0">
        <v>63.72</v>
      </c>
      <c r="C23" s="0">
        <v>63.72</v>
      </c>
      <c r="D23" s="0">
        <v>63.72</v>
      </c>
      <c r="E23" s="0">
        <v>63.72</v>
      </c>
      <c r="F23" s="0">
        <v>63.72</v>
      </c>
      <c r="G23" s="0">
        <v>63.72</v>
      </c>
      <c r="H23" s="0">
        <v>63.72</v>
      </c>
      <c r="I23" s="0">
        <v>63.72</v>
      </c>
      <c r="J23" s="0">
        <v>63.72</v>
      </c>
      <c r="K23" s="0">
        <v>63.72</v>
      </c>
    </row>
    <row r="24">
      <c r="A24" s="0" t="inlineStr">
        <is>
          <t xml:space="preserve">wacc</t>
        </is>
      </c>
      <c r="B24" s="0">
        <v>7.32</v>
      </c>
      <c r="C24" s="0">
        <v>7.44</v>
      </c>
      <c r="D24" s="0">
        <v>7.52</v>
      </c>
      <c r="E24" s="0">
        <v>7.52</v>
      </c>
      <c r="F24" s="0">
        <v>7.52</v>
      </c>
      <c r="G24" s="0">
        <v>7.46</v>
      </c>
      <c r="H24" s="0">
        <v>7.46</v>
      </c>
      <c r="I24" s="0">
        <v>7.46</v>
      </c>
      <c r="J24" s="0">
        <v>7.46</v>
      </c>
      <c r="K24" s="0">
        <v>7.46</v>
      </c>
    </row>
    <row r="25">
      <c r="A25" s="0" t="inlineStr">
        <is>
          <t xml:space="preserve">operatingCashFlow</t>
        </is>
      </c>
      <c r="B25" s="0">
        <v>5836000000</v>
      </c>
      <c r="C25" s="0">
        <v>6266000000</v>
      </c>
      <c r="D25" s="0">
        <v>8481000000</v>
      </c>
      <c r="E25" s="0">
        <v>9013000000</v>
      </c>
      <c r="F25" s="0">
        <v>6816000000</v>
      </c>
      <c r="G25" s="0">
        <v>6922361380</v>
      </c>
      <c r="H25" s="0">
        <v>7047343551</v>
      </c>
      <c r="I25" s="0">
        <v>7182860290</v>
      </c>
      <c r="J25" s="0">
        <v>7323812064</v>
      </c>
      <c r="K25" s="0">
        <v>7466966351</v>
      </c>
    </row>
    <row r="26">
      <c r="A26" s="0" t="inlineStr">
        <is>
          <t xml:space="preserve">pvLfcf</t>
        </is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1829735094</v>
      </c>
      <c r="H26" s="0">
        <v>1837362266</v>
      </c>
      <c r="I26" s="0">
        <v>1834414806</v>
      </c>
      <c r="J26" s="0">
        <v>1821746185</v>
      </c>
      <c r="K26" s="0">
        <v>1800403106</v>
      </c>
    </row>
    <row r="27">
      <c r="A27" s="0" t="inlineStr">
        <is>
          <t xml:space="preserve">sumPvLfcf</t>
        </is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9123661459</v>
      </c>
    </row>
    <row r="28">
      <c r="A28" s="0" t="inlineStr">
        <is>
          <t xml:space="preserve">longTermGrowthRate</t>
        </is>
      </c>
      <c r="B28" s="0">
        <v>2</v>
      </c>
      <c r="C28" s="0">
        <v>2</v>
      </c>
      <c r="D28" s="0">
        <v>2</v>
      </c>
      <c r="E28" s="0">
        <v>2</v>
      </c>
      <c r="F28" s="0">
        <v>2</v>
      </c>
      <c r="G28" s="0">
        <v>2</v>
      </c>
      <c r="H28" s="0">
        <v>2</v>
      </c>
      <c r="I28" s="0">
        <v>2</v>
      </c>
      <c r="J28" s="0">
        <v>2</v>
      </c>
      <c r="K28" s="0">
        <v>2</v>
      </c>
    </row>
    <row r="29">
      <c r="A29" s="0" t="inlineStr">
        <is>
          <t xml:space="preserve">freeCashFlow</t>
        </is>
      </c>
      <c r="B29" s="0">
        <v>-3202000000</v>
      </c>
      <c r="C29" s="0">
        <v>-11167000000</v>
      </c>
      <c r="D29" s="0">
        <v>8396000000</v>
      </c>
      <c r="E29" s="0">
        <v>8944000000</v>
      </c>
      <c r="F29" s="0">
        <v>6777000000</v>
      </c>
      <c r="G29" s="0">
        <v>1966319319</v>
      </c>
      <c r="H29" s="0">
        <v>2121907509</v>
      </c>
      <c r="I29" s="0">
        <v>2276643512</v>
      </c>
      <c r="J29" s="0">
        <v>2429691765</v>
      </c>
      <c r="K29" s="0">
        <v>2580470477</v>
      </c>
    </row>
    <row r="30">
      <c r="A30" s="0" t="inlineStr">
        <is>
          <t xml:space="preserve">terminalValue</t>
        </is>
      </c>
      <c r="B30" s="0">
        <v>48165135746</v>
      </c>
      <c r="C30" s="0">
        <v>48165135746</v>
      </c>
      <c r="D30" s="0">
        <v>48165135746</v>
      </c>
      <c r="E30" s="0">
        <v>48165135746</v>
      </c>
      <c r="F30" s="0">
        <v>48165135746</v>
      </c>
      <c r="G30" s="0">
        <v>48165135746</v>
      </c>
      <c r="H30" s="0">
        <v>48165135746</v>
      </c>
      <c r="I30" s="0">
        <v>48165135746</v>
      </c>
      <c r="J30" s="0">
        <v>48165135746</v>
      </c>
      <c r="K30" s="0">
        <v>48165135746</v>
      </c>
    </row>
    <row r="31">
      <c r="A31" s="0" t="inlineStr">
        <is>
          <t xml:space="preserve">presentTerminalValue</t>
        </is>
      </c>
      <c r="B31" s="0">
        <v>33830213677</v>
      </c>
      <c r="C31" s="0">
        <v>33646514487</v>
      </c>
      <c r="D31" s="0">
        <v>33516093011</v>
      </c>
      <c r="E31" s="0">
        <v>33517340382</v>
      </c>
      <c r="F31" s="0">
        <v>33516093011</v>
      </c>
      <c r="G31" s="0">
        <v>33604980476</v>
      </c>
      <c r="H31" s="0">
        <v>33604980476</v>
      </c>
      <c r="I31" s="0">
        <v>33604980476</v>
      </c>
      <c r="J31" s="0">
        <v>33604980476</v>
      </c>
      <c r="K31" s="0">
        <v>33604980476</v>
      </c>
    </row>
    <row r="32">
      <c r="A32" s="0" t="inlineStr">
        <is>
          <t xml:space="preserve">enterpriseValue</t>
        </is>
      </c>
      <c r="B32" s="0">
        <v>42953875136</v>
      </c>
      <c r="C32" s="0">
        <v>42770175946</v>
      </c>
      <c r="D32" s="0">
        <v>42639754470</v>
      </c>
      <c r="E32" s="0">
        <v>42641001841</v>
      </c>
      <c r="F32" s="0">
        <v>42639754470</v>
      </c>
      <c r="G32" s="0">
        <v>42728641935</v>
      </c>
      <c r="H32" s="0">
        <v>42728641935</v>
      </c>
      <c r="I32" s="0">
        <v>42728641935</v>
      </c>
      <c r="J32" s="0">
        <v>42728641935</v>
      </c>
      <c r="K32" s="0">
        <v>42728641935</v>
      </c>
    </row>
    <row r="33">
      <c r="A33" s="0" t="inlineStr">
        <is>
          <t xml:space="preserve">netDebt</t>
        </is>
      </c>
      <c r="B33" s="0">
        <v>52515000000</v>
      </c>
      <c r="C33" s="0">
        <v>52515000000</v>
      </c>
      <c r="D33" s="0">
        <v>52515000000</v>
      </c>
      <c r="E33" s="0">
        <v>52515000000</v>
      </c>
      <c r="F33" s="0">
        <v>52515000000</v>
      </c>
      <c r="G33" s="0">
        <v>52515000000</v>
      </c>
      <c r="H33" s="0">
        <v>52515000000</v>
      </c>
      <c r="I33" s="0">
        <v>52515000000</v>
      </c>
      <c r="J33" s="0">
        <v>52515000000</v>
      </c>
      <c r="K33" s="0">
        <v>52515000000</v>
      </c>
    </row>
    <row r="34">
      <c r="A34" s="0" t="inlineStr">
        <is>
          <t xml:space="preserve">equityValue</t>
        </is>
      </c>
      <c r="B34" s="0">
        <v>-9561124863</v>
      </c>
      <c r="C34" s="0">
        <v>-9744824053</v>
      </c>
      <c r="D34" s="0">
        <v>-9875245529</v>
      </c>
      <c r="E34" s="0">
        <v>-9873998158</v>
      </c>
      <c r="F34" s="0">
        <v>-9875245529</v>
      </c>
      <c r="G34" s="0">
        <v>-9786358064</v>
      </c>
      <c r="H34" s="0">
        <v>-9786358064</v>
      </c>
      <c r="I34" s="0">
        <v>-9786358064</v>
      </c>
      <c r="J34" s="0">
        <v>-9786358064</v>
      </c>
      <c r="K34" s="0">
        <v>-9786358064</v>
      </c>
    </row>
    <row r="35">
      <c r="A35" s="0" t="inlineStr">
        <is>
          <t xml:space="preserve">equityValuePerShare</t>
        </is>
      </c>
      <c r="B35" s="0">
        <v>-3.69</v>
      </c>
      <c r="C35" s="0">
        <v>-3.76</v>
      </c>
      <c r="D35" s="0">
        <v>-3.81</v>
      </c>
      <c r="E35" s="0">
        <v>-3.81</v>
      </c>
      <c r="F35" s="0">
        <v>-3.81</v>
      </c>
      <c r="G35" s="0">
        <v>-3.78</v>
      </c>
      <c r="H35" s="0">
        <v>-3.78</v>
      </c>
      <c r="I35" s="0">
        <v>-3.78</v>
      </c>
      <c r="J35" s="0">
        <v>-3.78</v>
      </c>
      <c r="K35" s="0">
        <v>-3.78</v>
      </c>
    </row>
    <row r="36">
      <c r="A36" s="0" t="inlineStr">
        <is>
          <t xml:space="preserve">freeCashFlowT1</t>
        </is>
      </c>
      <c r="B36" s="0">
        <v>2632079886</v>
      </c>
      <c r="C36" s="0">
        <v>2632079886</v>
      </c>
      <c r="D36" s="0">
        <v>2632079886</v>
      </c>
      <c r="E36" s="0">
        <v>2632079886</v>
      </c>
      <c r="F36" s="0">
        <v>2632079886</v>
      </c>
      <c r="G36" s="0">
        <v>2632079886</v>
      </c>
      <c r="H36" s="0">
        <v>2632079886</v>
      </c>
      <c r="I36" s="0">
        <v>2632079886</v>
      </c>
      <c r="J36" s="0">
        <v>2632079886</v>
      </c>
      <c r="K36" s="0">
        <v>2632079886</v>
      </c>
    </row>
    <row r="37">
      <c r="A37" s="0" t="inlineStr">
        <is>
          <t xml:space="preserve">operatingCashFlowPercentage</t>
        </is>
      </c>
      <c r="B37" s="0">
        <v>49.93</v>
      </c>
      <c r="C37" s="0">
        <v>50.78</v>
      </c>
      <c r="D37" s="0">
        <v>62.46</v>
      </c>
      <c r="E37" s="0">
        <v>63.37</v>
      </c>
      <c r="F37" s="0">
        <v>48.68</v>
      </c>
      <c r="G37" s="0">
        <v>49.92</v>
      </c>
      <c r="H37" s="0">
        <v>51.14</v>
      </c>
      <c r="I37" s="0">
        <v>52.33</v>
      </c>
      <c r="J37" s="0">
        <v>53.49</v>
      </c>
      <c r="K37" s="0">
        <v>54.62</v>
      </c>
    </row>
    <row r="38">
      <c r="A38" s="0" t="inlineStr">
        <is>
          <t xml:space="preserve">Checks below are candidate identities, not a reproduced FMP engine. Residuals do not alter raw vendor outputs.</t>
        </is>
      </c>
    </row>
    <row r="39">
      <c r="A39" s="0" t="inlineStr">
        <is>
          <t xml:space="preserve">EV residual</t>
        </is>
      </c>
      <c r="B39" s="0">
        <f>B32-(B27+B31)</f>
        <v>9123661459</v>
      </c>
      <c r="C39" s="0">
        <f>C32-(C27+C31)</f>
        <v>9123661459</v>
      </c>
      <c r="D39" s="0">
        <f>D32-(D27+D31)</f>
        <v>9123661459</v>
      </c>
      <c r="E39" s="0">
        <f>E32-(E27+E31)</f>
        <v>9123661459</v>
      </c>
      <c r="F39" s="0">
        <f>F32-(F27+F31)</f>
        <v>9123661459</v>
      </c>
      <c r="G39" s="0">
        <f>G32-(G27+G31)</f>
        <v>9123661459</v>
      </c>
      <c r="H39" s="0">
        <f>H32-(H27+H31)</f>
        <v>9123661459</v>
      </c>
      <c r="I39" s="0">
        <f>I32-(I27+I31)</f>
        <v>9123661459</v>
      </c>
      <c r="J39" s="0">
        <f>J32-(J27+J31)</f>
        <v>9123661459</v>
      </c>
      <c r="K39" s="0">
        <f>K32-(K27+K31)</f>
        <v>0</v>
      </c>
    </row>
    <row r="40">
      <c r="A40" s="0" t="inlineStr">
        <is>
          <t xml:space="preserve">Equity residual</t>
        </is>
      </c>
      <c r="B40" s="0">
        <f>B34-(B32-B33)</f>
        <v>1</v>
      </c>
      <c r="C40" s="0">
        <f>C34-(C32-C33)</f>
        <v>1</v>
      </c>
      <c r="D40" s="0">
        <f>D34-(D32-D33)</f>
        <v>1</v>
      </c>
      <c r="E40" s="0">
        <f>E34-(E32-E33)</f>
        <v>1</v>
      </c>
      <c r="F40" s="0">
        <f>F34-(F32-F33)</f>
        <v>1</v>
      </c>
      <c r="G40" s="0">
        <f>G34-(G32-G33)</f>
        <v>1</v>
      </c>
      <c r="H40" s="0">
        <f>H34-(H32-H33)</f>
        <v>1</v>
      </c>
      <c r="I40" s="0">
        <f>I34-(I32-I33)</f>
        <v>1</v>
      </c>
      <c r="J40" s="0">
        <f>J34-(J32-J33)</f>
        <v>1</v>
      </c>
      <c r="K40" s="0">
        <f>K34-(K32-K33)</f>
        <v>1</v>
      </c>
    </row>
    <row r="41">
      <c r="A41" s="0" t="inlineStr">
        <is>
          <t xml:space="preserve">CFO cash-flow residual</t>
        </is>
      </c>
      <c r="B41" s="0">
        <f>B29-(B25+B8)</f>
        <v>0</v>
      </c>
      <c r="C41" s="0">
        <f>C29-(C25+C8)</f>
        <v>0</v>
      </c>
      <c r="D41" s="0">
        <f>D29-(D25+D8)</f>
        <v>0</v>
      </c>
      <c r="E41" s="0">
        <f>E29-(E25+E8)</f>
        <v>0</v>
      </c>
      <c r="F41" s="0">
        <f>F29-(F25+F8)</f>
        <v>0</v>
      </c>
      <c r="G41" s="0">
        <f>G29-(G25+G8)</f>
        <v>0</v>
      </c>
      <c r="H41" s="0">
        <f>H29-(H25+H8)</f>
        <v>0</v>
      </c>
      <c r="I41" s="0">
        <f>I29-(I25+I8)</f>
        <v>0</v>
      </c>
      <c r="J41" s="0">
        <f>J29-(J25+J8)</f>
        <v>0</v>
      </c>
      <c r="K41" s="0">
        <f>K29-(K25+K8)</f>
        <v>0</v>
      </c>
    </row>
    <row r="42">
      <c r="A42" s="0" t="inlineStr">
        <is>
          <t xml:space="preserve">Original diluted-price residual</t>
        </is>
      </c>
      <c r="B42" s="0">
        <f>B35-B34/B12</f>
        <v>0.003631847336513243164204728</v>
      </c>
      <c r="C42" s="0">
        <f>C35-C34/C12</f>
        <v>0.004598097462549395547997464</v>
      </c>
      <c r="D42" s="0">
        <f>D35-D34/D12</f>
        <v>0.004982223204327685497208275</v>
      </c>
      <c r="E42" s="0">
        <f>E35-E34/E12</f>
        <v>0.004500341698013129393639588</v>
      </c>
      <c r="F42" s="0">
        <f>F35-F34/F12</f>
        <v>0.004982223204327685497208275</v>
      </c>
      <c r="G42" s="0">
        <f>G35-G34/G12</f>
        <v>0.000643421415058587012075905</v>
      </c>
      <c r="H42" s="0">
        <f>H35-H34/H12</f>
        <v>0.000643421415058587012075905</v>
      </c>
      <c r="I42" s="0">
        <f>I35-I34/I12</f>
        <v>0.000643421415058587012075905</v>
      </c>
      <c r="J42" s="0">
        <f>J35-J34/J12</f>
        <v>0.000643421415058587012075905</v>
      </c>
      <c r="K42" s="0">
        <f>K35-K34/K12</f>
        <v>0.000643421415058587012075905</v>
      </c>
    </row>
    <row r="43">
      <c r="A43" s="0" t="inlineStr">
        <is>
          <t xml:space="preserve">Site issued-share rebase</t>
        </is>
      </c>
      <c r="B43" s="0">
        <f>B34/2627313300</f>
        <v>-3.639126275119149284556204241</v>
      </c>
      <c r="C43" s="0">
        <f>C34/2627313300</f>
        <v>-3.709045302286560190594703723</v>
      </c>
      <c r="D43" s="0">
        <f>D34/2627313300</f>
        <v>-3.758685927940150875801526982</v>
      </c>
      <c r="E43" s="0">
        <f>E34/2627313300</f>
        <v>-3.758211157382714882157373466</v>
      </c>
      <c r="F43" s="0">
        <f>F34/2627313300</f>
        <v>-3.758685927940150875801526982</v>
      </c>
      <c r="G43" s="0">
        <f>G34/2627313300</f>
        <v>-3.724853851270802001420995357</v>
      </c>
      <c r="H43" s="0">
        <f>H34/2627313300</f>
        <v>-3.724853851270802001420995357</v>
      </c>
      <c r="I43" s="0">
        <f>I34/2627313300</f>
        <v>-3.724853851270802001420995357</v>
      </c>
      <c r="J43" s="0">
        <f>J34/2627313300</f>
        <v>-3.724853851270802001420995357</v>
      </c>
      <c r="K43" s="0">
        <f>K34/2627313300</f>
        <v>-3.724853851270802001420995357</v>
      </c>
    </row>
    <row r="44">
      <c r="A44" s="0" t="inlineStr">
        <is>
          <t xml:space="preserve">Website selected native row</t>
        </is>
      </c>
      <c r="B44" s="0" t="inlineStr">
        <is>
          <t xml:space="preserve">2031</t>
        </is>
      </c>
    </row>
    <row r="45">
      <c r="A45" s="0" t="inlineStr">
        <is>
          <t xml:space="preserve">Available row coverage</t>
        </is>
      </c>
      <c r="B45" s="0" t="inlineStr">
        <is>
          <t xml:space="preserve">availableApiRows</t>
        </is>
      </c>
    </row>
    <row r="46">
      <c r="A46" s="0" t="inlineStr">
        <is>
          <t xml:space="preserve">Site issued shares</t>
        </is>
      </c>
      <c r="B46" s="0">
        <v>2627313300</v>
      </c>
    </row>
    <row r="47">
      <c r="A47" s="0" t="inlineStr">
        <is>
          <t xml:space="preserve">Native scalar API overrides (not ten-year arrays)</t>
        </is>
      </c>
      <c r="B47" s="0" t="inlineStr">
        <is>
          <t xml:space="preserve">{}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54" customWidth="1"/>
    <col min="2" max="30" width="22" customWidth="1"/>
  </cols>
  <sheetData>
    <row r="1">
      <c r="A1" s="0" t="inlineStr">
        <is>
          <t xml:space="preserve">0823.HK: site-calculated ten-year customLevered scenario</t>
        </is>
      </c>
    </row>
    <row r="2">
      <c r="A2" s="0" t="inlineStr">
        <is>
          <t xml:space="preserve">Amounts: currency units, NOT millions. Numeric assumption cells editable; formula cells recalculate.</t>
        </is>
      </c>
    </row>
    <row r="3">
      <c r="A3" s="0" t="inlineStr">
        <is>
          <t xml:space="preserve">Currency</t>
        </is>
      </c>
      <c r="B3" s="0" t="inlineStr">
        <is>
          <t xml:space="preserve">HKD</t>
        </is>
      </c>
    </row>
    <row r="4">
      <c r="A4" s="0" t="inlineStr">
        <is>
          <t xml:space="preserve">Source captured</t>
        </is>
      </c>
      <c r="B4" s="0" t="inlineStr">
        <is>
          <t xml:space="preserve">2026-10-18T06:56:02.514Z</t>
        </is>
      </c>
    </row>
    <row r="5">
      <c r="A5" s="0" t="inlineStr">
        <is>
          <t xml:space="preserve">Actual baseline FY</t>
        </is>
      </c>
      <c r="B5" s="0">
        <v>2026</v>
      </c>
    </row>
    <row r="6">
      <c r="A6" s="0" t="inlineStr">
        <is>
          <t xml:space="preserve">Base revenue (FMP model basis)</t>
        </is>
      </c>
      <c r="B6" s="0">
        <v>14003000000</v>
      </c>
    </row>
    <row r="7">
      <c r="A7" s="0" t="inlineStr">
        <is>
          <t xml:space="preserve">Opening NWC (FMP model basis)</t>
        </is>
      </c>
      <c r="B7" s="0">
        <v>0</v>
      </c>
    </row>
    <row r="8">
      <c r="A8" s="0" t="inlineStr">
        <is>
          <t xml:space="preserve">Snapshot net debt (subtracted once)</t>
        </is>
      </c>
      <c r="B8" s="0">
        <v>52515000000</v>
      </c>
    </row>
    <row r="9">
      <c r="A9" s="0" t="inlineStr">
        <is>
          <t xml:space="preserve">Issued common shares (individual shares)</t>
        </is>
      </c>
      <c r="B9" s="0">
        <v>2627313300</v>
      </c>
    </row>
    <row r="10">
      <c r="A10" s="0" t="inlineStr">
        <is>
          <t xml:space="preserve">Terminal growth</t>
        </is>
      </c>
      <c r="B10" s="1">
        <v>0.02</v>
      </c>
    </row>
    <row r="11">
      <c r="A11" s="0" t="inlineStr">
        <is>
          <t xml:space="preserve">Negative CapEx inputs. EBIT is linked to EBITDA less DA. Ke override takes precedence over CAPM.</t>
        </is>
      </c>
    </row>
    <row r="12">
      <c r="A12" s="0" t="inlineStr">
        <is>
          <t xml:space="preserve">Full precision retained. Percent display 2dp. Year-end discounting; no stub-year adjustment.</t>
        </is>
      </c>
    </row>
    <row r="13">
      <c r="A13" s="0" t="inlineStr">
        <is>
          <t xml:space="preserve">Projected fiscal year</t>
        </is>
      </c>
      <c r="B13" s="0">
        <v>2027</v>
      </c>
      <c r="C13" s="0">
        <v>2028</v>
      </c>
      <c r="D13" s="0">
        <v>2029</v>
      </c>
      <c r="E13" s="0">
        <v>2030</v>
      </c>
      <c r="F13" s="0">
        <v>2031</v>
      </c>
      <c r="G13" s="0">
        <v>2032</v>
      </c>
      <c r="H13" s="0">
        <v>2033</v>
      </c>
      <c r="I13" s="0">
        <v>2034</v>
      </c>
      <c r="J13" s="0">
        <v>2035</v>
      </c>
      <c r="K13" s="0">
        <v>2036</v>
      </c>
    </row>
    <row r="14">
      <c r="A14" s="0" t="inlineStr">
        <is>
          <t xml:space="preserve">Year source (not analyst consensus)</t>
        </is>
      </c>
      <c r="B14" s="0" t="inlineStr">
        <is>
          <t xml:space="preserve">FMP model projection</t>
        </is>
      </c>
      <c r="C14" s="0" t="inlineStr">
        <is>
          <t xml:space="preserve">FMP model projection</t>
        </is>
      </c>
      <c r="D14" s="0" t="inlineStr">
        <is>
          <t xml:space="preserve">FMP model projection</t>
        </is>
      </c>
      <c r="E14" s="0" t="inlineStr">
        <is>
          <t xml:space="preserve">FMP model projection</t>
        </is>
      </c>
      <c r="F14" s="0" t="inlineStr">
        <is>
          <t xml:space="preserve">FMP model projection</t>
        </is>
      </c>
      <c r="G14" s="0" t="inlineStr">
        <is>
          <t xml:space="preserve">Standard extension</t>
        </is>
      </c>
      <c r="H14" s="0" t="inlineStr">
        <is>
          <t xml:space="preserve">Standard extension</t>
        </is>
      </c>
      <c r="I14" s="0" t="inlineStr">
        <is>
          <t xml:space="preserve">Standard extension</t>
        </is>
      </c>
      <c r="J14" s="0" t="inlineStr">
        <is>
          <t xml:space="preserve">Standard extension</t>
        </is>
      </c>
      <c r="K14" s="0" t="inlineStr">
        <is>
          <t xml:space="preserve">Standard extension</t>
        </is>
      </c>
    </row>
    <row r="15">
      <c r="A15" s="0" t="inlineStr">
        <is>
          <t xml:space="preserve">growth</t>
        </is>
      </c>
      <c r="B15" s="1">
        <v>-0.009773534885381685</v>
      </c>
      <c r="C15" s="1">
        <v>-0.006175496255265256</v>
      </c>
      <c r="D15" s="1">
        <v>-0.003902043069159644</v>
      </c>
      <c r="E15" s="1">
        <v>-0.0024655411338829758</v>
      </c>
      <c r="F15" s="1">
        <v>-0.0015578744416481216</v>
      </c>
      <c r="G15" s="1">
        <v>0.002753700446681503</v>
      </c>
      <c r="H15" s="1">
        <v>0.007065275335011127</v>
      </c>
      <c r="I15" s="1">
        <v>0.011376850223340753</v>
      </c>
      <c r="J15" s="1">
        <v>0.015688425111670377</v>
      </c>
      <c r="K15" s="1">
        <v>0.02</v>
      </c>
    </row>
    <row r="16">
      <c r="A16" s="0" t="inlineStr">
        <is>
          <t xml:space="preserve">capex</t>
        </is>
      </c>
      <c r="B16" s="1">
        <v>-0.3574204238030393</v>
      </c>
      <c r="C16" s="1">
        <v>-0.3574204238167284</v>
      </c>
      <c r="D16" s="1">
        <v>-0.3574204237854227</v>
      </c>
      <c r="E16" s="1">
        <v>-0.3574204238057183</v>
      </c>
      <c r="F16" s="1">
        <v>-0.3574204238004639</v>
      </c>
      <c r="G16" s="1">
        <v>-0.3574204238004639</v>
      </c>
      <c r="H16" s="1">
        <v>-0.3574204238004639</v>
      </c>
      <c r="I16" s="1">
        <v>-0.3574204238004639</v>
      </c>
      <c r="J16" s="1">
        <v>-0.3574204238004639</v>
      </c>
      <c r="K16" s="1">
        <v>-0.3574204238004639</v>
      </c>
    </row>
    <row r="17">
      <c r="A17" s="0" t="inlineStr">
        <is>
          <t xml:space="preserve">tax</t>
        </is>
      </c>
      <c r="B17" s="1">
        <v>0.03209576875786291</v>
      </c>
      <c r="C17" s="1">
        <v>0.032095768787066103</v>
      </c>
      <c r="D17" s="1">
        <v>0.03209576889216925</v>
      </c>
      <c r="E17" s="1">
        <v>0.032095768694802462</v>
      </c>
      <c r="F17" s="1">
        <v>0.032095768907329347</v>
      </c>
      <c r="G17" s="1">
        <v>0.032095768907329347</v>
      </c>
      <c r="H17" s="1">
        <v>0.032095768907329347</v>
      </c>
      <c r="I17" s="1">
        <v>0.032095768907329347</v>
      </c>
      <c r="J17" s="1">
        <v>0.032095768907329347</v>
      </c>
      <c r="K17" s="1">
        <v>0.032095768907329347</v>
      </c>
    </row>
    <row r="18">
      <c r="A18" s="0" t="inlineStr">
        <is>
          <t xml:space="preserve">beta</t>
        </is>
      </c>
      <c r="B18" s="0">
        <v>0.875</v>
      </c>
      <c r="C18" s="0">
        <v>0.875</v>
      </c>
      <c r="D18" s="0">
        <v>0.875</v>
      </c>
      <c r="E18" s="0">
        <v>0.875</v>
      </c>
      <c r="F18" s="0">
        <v>0.875</v>
      </c>
      <c r="G18" s="0">
        <v>0.875</v>
      </c>
      <c r="H18" s="0">
        <v>0.875</v>
      </c>
      <c r="I18" s="0">
        <v>0.875</v>
      </c>
      <c r="J18" s="0">
        <v>0.875</v>
      </c>
      <c r="K18" s="0">
        <v>0.875</v>
      </c>
    </row>
    <row r="19">
      <c r="A19" s="0" t="inlineStr">
        <is>
          <t xml:space="preserve">rf</t>
        </is>
      </c>
      <c r="B19" s="1">
        <v>0.0489</v>
      </c>
      <c r="C19" s="1">
        <v>0.0489</v>
      </c>
      <c r="D19" s="1">
        <v>0.0489</v>
      </c>
      <c r="E19" s="1">
        <v>0.0489</v>
      </c>
      <c r="F19" s="1">
        <v>0.0489</v>
      </c>
      <c r="G19" s="1">
        <v>0.0489</v>
      </c>
      <c r="H19" s="1">
        <v>0.0489</v>
      </c>
      <c r="I19" s="1">
        <v>0.0489</v>
      </c>
      <c r="J19" s="1">
        <v>0.0489</v>
      </c>
      <c r="K19" s="1">
        <v>0.0489</v>
      </c>
    </row>
    <row r="20">
      <c r="A20" s="0" t="inlineStr">
        <is>
          <t xml:space="preserve">erp</t>
        </is>
      </c>
      <c r="B20" s="1">
        <v>0.0472</v>
      </c>
      <c r="C20" s="1">
        <v>0.0472</v>
      </c>
      <c r="D20" s="1">
        <v>0.0472</v>
      </c>
      <c r="E20" s="1">
        <v>0.0472</v>
      </c>
      <c r="F20" s="1">
        <v>0.0472</v>
      </c>
      <c r="G20" s="1">
        <v>0.0472</v>
      </c>
      <c r="H20" s="1">
        <v>0.0472</v>
      </c>
      <c r="I20" s="1">
        <v>0.0472</v>
      </c>
      <c r="J20" s="1">
        <v>0.0472</v>
      </c>
      <c r="K20" s="1">
        <v>0.0472</v>
      </c>
    </row>
    <row r="21">
      <c r="A21" s="0" t="inlineStr">
        <is>
          <t xml:space="preserve">kd</t>
        </is>
      </c>
      <c r="B21" s="1">
        <v>0.0489</v>
      </c>
      <c r="C21" s="1">
        <v>0.0489</v>
      </c>
      <c r="D21" s="1">
        <v>0.0489</v>
      </c>
      <c r="E21" s="1">
        <v>0.0489</v>
      </c>
      <c r="F21" s="1">
        <v>0.0489</v>
      </c>
      <c r="G21" s="1">
        <v>0.0489</v>
      </c>
      <c r="H21" s="1">
        <v>0.0489</v>
      </c>
      <c r="I21" s="1">
        <v>0.0489</v>
      </c>
      <c r="J21" s="1">
        <v>0.0489</v>
      </c>
      <c r="K21" s="1">
        <v>0.0489</v>
      </c>
    </row>
    <row r="22">
      <c r="A22" s="0" t="inlineStr">
        <is>
          <t xml:space="preserve">ke</t>
        </is>
      </c>
      <c r="B22" s="1">
        <f>IF(ISNUMBER(B26),B26,IF(AND(B19=0.0489,B18=0.875,B20=0.0472),0.0902,B19+B18*B20))</f>
        <v>0.0902</v>
      </c>
      <c r="C22" s="1">
        <f>IF(ISNUMBER(C26),C26,IF(AND(C19=0.0489,C18=0.875,C20=0.0472),0.0902,C19+C18*C20))</f>
        <v>0.0902</v>
      </c>
      <c r="D22" s="1">
        <f>IF(ISNUMBER(D26),D26,IF(AND(D19=0.0489,D18=0.875,D20=0.0472),0.0902,D19+D18*D20))</f>
        <v>0.0902</v>
      </c>
      <c r="E22" s="1">
        <f>IF(ISNUMBER(E26),E26,IF(AND(E19=0.0489,E18=0.875,E20=0.0472),0.0902,E19+E18*E20))</f>
        <v>0.0902</v>
      </c>
      <c r="F22" s="1">
        <f>IF(ISNUMBER(F26),F26,IF(AND(F19=0.0489,F18=0.875,F20=0.0472),0.0902,F19+F18*F20))</f>
        <v>0.0902</v>
      </c>
      <c r="G22" s="1">
        <f>IF(ISNUMBER(G26),G26,IF(AND(G19=0.0489,G18=0.875,G20=0.0472),0.0902,G19+G18*G20))</f>
        <v>0.0902</v>
      </c>
      <c r="H22" s="1">
        <f>IF(ISNUMBER(H26),H26,IF(AND(H19=0.0489,H18=0.875,H20=0.0472),0.0902,H19+H18*H20))</f>
        <v>0.0902</v>
      </c>
      <c r="I22" s="1">
        <f>IF(ISNUMBER(I26),I26,IF(AND(I19=0.0489,I18=0.875,I20=0.0472),0.0902,I19+I18*I20))</f>
        <v>0.0902</v>
      </c>
      <c r="J22" s="1">
        <f>IF(ISNUMBER(J26),J26,IF(AND(J19=0.0489,J18=0.875,J20=0.0472),0.0902,J19+J18*J20))</f>
        <v>0.0902</v>
      </c>
      <c r="K22" s="1">
        <f>IF(ISNUMBER(K26),K26,IF(AND(K19=0.0489,K18=0.875,K20=0.0472),0.0902,K19+K18*K20))</f>
        <v>0.0902</v>
      </c>
    </row>
    <row r="23">
      <c r="A23" s="0" t="inlineStr">
        <is>
          <t xml:space="preserve">debtWeight</t>
        </is>
      </c>
      <c r="B23" s="1">
        <v>0.3628</v>
      </c>
      <c r="C23" s="1">
        <v>0.3628</v>
      </c>
      <c r="D23" s="1">
        <v>0.3628</v>
      </c>
      <c r="E23" s="1">
        <v>0.3628</v>
      </c>
      <c r="F23" s="1">
        <v>0.3628</v>
      </c>
      <c r="G23" s="1">
        <v>0.3628</v>
      </c>
      <c r="H23" s="1">
        <v>0.3628</v>
      </c>
      <c r="I23" s="1">
        <v>0.3628</v>
      </c>
      <c r="J23" s="1">
        <v>0.3628</v>
      </c>
      <c r="K23" s="1">
        <v>0.3628</v>
      </c>
    </row>
    <row r="24">
      <c r="A24" s="0" t="inlineStr">
        <is>
          <t xml:space="preserve">cfo</t>
        </is>
      </c>
      <c r="B24" s="1">
        <v>0.4992276715379943</v>
      </c>
      <c r="C24" s="1">
        <v>0.5113992948648073</v>
      </c>
      <c r="D24" s="1">
        <v>0.5232750783363947</v>
      </c>
      <c r="E24" s="1">
        <v>0.5348622125866368</v>
      </c>
      <c r="F24" s="1">
        <v>0.5461677133257359</v>
      </c>
      <c r="G24" s="1">
        <v>0.5461677133257359</v>
      </c>
      <c r="H24" s="1">
        <v>0.5461677133257359</v>
      </c>
      <c r="I24" s="1">
        <v>0.5461677133257359</v>
      </c>
      <c r="J24" s="1">
        <v>0.5461677133257359</v>
      </c>
      <c r="K24" s="1">
        <v>0.5461677133257359</v>
      </c>
    </row>
    <row r="25">
      <c r="A25" s="0" t="inlineStr">
        <is>
          <t xml:space="preserve">Per-field input provenance</t>
        </is>
      </c>
      <c r="B25" s="0" t="inlineStr">
        <is>
          <t xml:space="preserve">{"growth": "fmp", "capex": "fmp", "tax": "derived-fmp", "beta": "fmp", "rf": "fmp", "erp": "fmp", "kd": "fmp", "ke": "fmp", "debtWeight": "fmp", "cfo": "fmp"}</t>
        </is>
      </c>
      <c r="C25" s="0" t="inlineStr">
        <is>
          <t xml:space="preserve">{"growth": "fmp", "capex": "fmp", "tax": "derived-fmp", "beta": "fmp", "rf": "fmp", "erp": "fmp", "kd": "fmp", "ke": "fmp", "debtWeight": "fmp", "cfo": "fmp"}</t>
        </is>
      </c>
      <c r="D25" s="0" t="inlineStr">
        <is>
          <t xml:space="preserve">{"growth": "fmp", "capex": "fmp", "tax": "derived-fmp", "beta": "fmp", "rf": "fmp", "erp": "fmp", "kd": "fmp", "ke": "fmp", "debtWeight": "fmp", "cfo": "fmp"}</t>
        </is>
      </c>
      <c r="E25" s="0" t="inlineStr">
        <is>
          <t xml:space="preserve">{"growth": "fmp", "capex": "fmp", "tax": "derived-fmp", "beta": "fmp", "rf": "fmp", "erp": "fmp", "kd": "fmp", "ke": "fmp", "debtWeight": "fmp", "cfo": "fmp"}</t>
        </is>
      </c>
      <c r="F25" s="0" t="inlineStr">
        <is>
          <t xml:space="preserve">{"growth": "fmp", "capex": "fmp", "tax": "derived-fmp", "beta": "fmp", "rf": "fmp", "erp": "fmp", "kd": "fmp", "ke": "fmp", "debtWeight": "fmp", "cfo": "fmp"}</t>
        </is>
      </c>
      <c r="G25" s="0" t="inlineStr">
        <is>
          <t xml:space="preserve">{"growth": "extension", "capex": "extension", "tax": "extension", "beta": "extension", "rf": "extension", "erp": "extension", "kd": "extension", "ke": "extension", "debtWeight": "extension", "cfo": "extension"}</t>
        </is>
      </c>
      <c r="H25" s="0" t="inlineStr">
        <is>
          <t xml:space="preserve">{"growth": "extension", "capex": "extension", "tax": "extension", "beta": "extension", "rf": "extension", "erp": "extension", "kd": "extension", "ke": "extension", "debtWeight": "extension", "cfo": "extension"}</t>
        </is>
      </c>
      <c r="I25" s="0" t="inlineStr">
        <is>
          <t xml:space="preserve">{"growth": "extension", "capex": "extension", "tax": "extension", "beta": "extension", "rf": "extension", "erp": "extension", "kd": "extension", "ke": "extension", "debtWeight": "extension", "cfo": "extension"}</t>
        </is>
      </c>
      <c r="J25" s="0" t="inlineStr">
        <is>
          <t xml:space="preserve">{"growth": "extension", "capex": "extension", "tax": "extension", "beta": "extension", "rf": "extension", "erp": "extension", "kd": "extension", "ke": "extension", "debtWeight": "extension", "cfo": "extension"}</t>
        </is>
      </c>
      <c r="K25" s="0" t="inlineStr">
        <is>
          <t xml:space="preserve">{"growth": "extension", "capex": "extension", "tax": "extension", "beta": "extension", "rf": "extension", "erp": "extension", "kd": "extension", "ke": "extension", "debtWeight": "extension", "cfo": "extension"}</t>
        </is>
      </c>
    </row>
    <row r="26">
      <c r="A26" s="0" t="inlineStr">
        <is>
          <t xml:space="preserve">ke override (blank = initial Ke / changed CAPM)</t>
        </is>
      </c>
    </row>
    <row r="27">
      <c r="A27" s="0" t="inlineStr">
        <is>
          <t xml:space="preserve">Calculated outputs</t>
        </is>
      </c>
    </row>
    <row r="28">
      <c r="A28" s="0" t="inlineStr">
        <is>
          <t xml:space="preserve">revenue</t>
        </is>
      </c>
      <c r="B28" s="0">
        <f>$B$6*(1+B15)</f>
        <v>13866141191.000000264945000000</v>
      </c>
      <c r="C28" s="0">
        <f>B28*(1+C15)</f>
        <v>13780510888.000000446456073248648746749080000000</v>
      </c>
      <c r="D28" s="0">
        <f>C28*(1+D15)</f>
        <v>13726738741.000001033561778550344626559854508823347</v>
      </c>
      <c r="E28" s="0">
        <f>D28*(1+E15)</f>
        <v>13692894902.000000519339264003119504733480749858435</v>
      </c>
      <c r="F28" s="0">
        <f>E28*(1+F15)</f>
        <v>13671563091.000000857795682553984698518059357462866</v>
      </c>
      <c r="G28" s="0">
        <f>F28*(1+G15)</f>
        <v>13709210480.390521910005000681195070932493301288560</v>
      </c>
      <c r="H28" s="0">
        <f>G28*(1+H15)</f>
        <v>13806069827.060101108008551407571869291118801317761</v>
      </c>
      <c r="I28" s="0">
        <f>H28*(1+I15)</f>
        <v>13963139415.655547850445381253371867514069777441629</v>
      </c>
      <c r="J28" s="0">
        <f>I28*(1+J15)</f>
        <v>14182199082.701872781380819564362573397146966556279</v>
      </c>
      <c r="K28" s="0">
        <f>J28*(1+K15)</f>
        <v>14465843064.355910237008435955649824865089905887405</v>
      </c>
    </row>
    <row r="29">
      <c r="A29" s="0" t="inlineStr">
        <is>
          <t xml:space="preserve">ebitda</t>
        </is>
      </c>
    </row>
    <row r="30">
      <c r="A30" s="0" t="inlineStr">
        <is>
          <t xml:space="preserve">da</t>
        </is>
      </c>
    </row>
    <row r="31">
      <c r="A31" s="0" t="inlineStr">
        <is>
          <t xml:space="preserve">ebit</t>
        </is>
      </c>
    </row>
    <row r="32">
      <c r="A32" s="0" t="inlineStr">
        <is>
          <t xml:space="preserve">nopat</t>
        </is>
      </c>
    </row>
    <row r="33">
      <c r="A33" s="0" t="inlineStr">
        <is>
          <t xml:space="preserve">cfo</t>
        </is>
      </c>
      <c r="B33" s="0">
        <f>B28*B24</f>
        <v>6922361380.00000121702108673563389981350000</v>
      </c>
      <c r="C33" s="0">
        <f>C28*C24</f>
        <v>7047343550.9999997139892034474697268162304584739757</v>
      </c>
      <c r="D33" s="0">
        <f>D28*D24</f>
        <v>7182860289.9999994995941933364350158168983553214029</v>
      </c>
      <c r="E33" s="0">
        <f>E28*E24</f>
        <v>7323812063.9999995498205414278239971512392006031352</v>
      </c>
      <c r="F33" s="0">
        <f>F28*F24</f>
        <v>7466966351.0000002593539733411986704994394728217517</v>
      </c>
      <c r="G33" s="0">
        <f>G28*G24</f>
        <v>7487528139.5761047125832620464369518994623332583523</v>
      </c>
      <c r="H33" s="0">
        <f>H28*H24</f>
        <v>7540429587.4608535162900628952246214343069765852479</v>
      </c>
      <c r="I33" s="0">
        <f>I28*I24</f>
        <v>7626215925.4970427496238538796250780821086989670898</v>
      </c>
      <c r="J33" s="0">
        <f>J28*J24</f>
        <v>7745859242.9296311000067801656621475186496502207661</v>
      </c>
      <c r="K33" s="0">
        <f>K28*K24</f>
        <v>7900776427.7882237220069157689753904690226432251817</v>
      </c>
    </row>
    <row r="34">
      <c r="A34" s="0" t="inlineStr">
        <is>
          <t xml:space="preserve">capex</t>
        </is>
      </c>
      <c r="B34" s="0">
        <f>B28*B16</f>
        <v>-4956042061.00000020341856048449624733850000</v>
      </c>
      <c r="C34" s="0">
        <f>C28*C16</f>
        <v>-4925436042.0000003923113381160843736161277415552213</v>
      </c>
      <c r="D34" s="0">
        <f>D28*D16</f>
        <v>-4906216778.0000000165669095978793859466139958852306</v>
      </c>
      <c r="E34" s="0">
        <f>E28*E16</f>
        <v>-4894120298.9999997341405664389447956172358339274611</v>
      </c>
      <c r="F34" s="0">
        <f>F28*F16</f>
        <v>-4886495874.0000005105116112926534087401768009995758</v>
      </c>
      <c r="G34" s="0">
        <f>G28*G16</f>
        <v>-4899951819.8709416333190259667060822629788233306238</v>
      </c>
      <c r="H34" s="0">
        <f>H28*H16</f>
        <v>-4934571328.6066186818880391990224292179878601333063</v>
      </c>
      <c r="I34" s="0">
        <f>I28*I16</f>
        <v>-4990711207.5285677679022897949805696782397115252985</v>
      </c>
      <c r="J34" s="0">
        <f>J28*J16</f>
        <v>-5069007606.5618537407292826766690849226627822952286</v>
      </c>
      <c r="K34" s="0">
        <f>K28*K16</f>
        <v>-5170387758.6930908155438683302024666211160379411333</v>
      </c>
    </row>
    <row r="35">
      <c r="A35" s="0" t="inlineStr">
        <is>
          <t xml:space="preserve">nwc</t>
        </is>
      </c>
    </row>
    <row r="36">
      <c r="A36" s="0" t="inlineStr">
        <is>
          <t xml:space="preserve">changeNwc</t>
        </is>
      </c>
    </row>
    <row r="37">
      <c r="A37" s="0" t="inlineStr">
        <is>
          <t xml:space="preserve">projectedCash</t>
        </is>
      </c>
    </row>
    <row r="38">
      <c r="A38" s="0" t="inlineStr">
        <is>
          <t xml:space="preserve">wacc</t>
        </is>
      </c>
      <c r="B38" s="1">
        <f>B22*(1-B23)+B21*(1-B17)*B23</f>
        <v>0.0746469515341282547427228</v>
      </c>
      <c r="C38" s="1">
        <f>C22*(1-C23)+C21*(1-C17)*C23</f>
        <v>0.07464695153361016323196524</v>
      </c>
      <c r="D38" s="1">
        <f>D22*(1-D23)+D21*(1-D17)*D23</f>
        <v>0.07464695153174553670929</v>
      </c>
      <c r="E38" s="1">
        <f>E22*(1-E23)+E21*(1-E17)*E23</f>
        <v>0.07464695153524700510585496</v>
      </c>
      <c r="F38" s="1">
        <f>F22*(1-F23)+F21*(1-F17)*F23</f>
        <v>0.07464695153147658264122076</v>
      </c>
      <c r="G38" s="1">
        <f>G22*(1-G23)+G21*(1-G17)*G23</f>
        <v>0.07464695153147658264122076</v>
      </c>
      <c r="H38" s="1">
        <f>H22*(1-H23)+H21*(1-H17)*H23</f>
        <v>0.07464695153147658264122076</v>
      </c>
      <c r="I38" s="1">
        <f>I22*(1-I23)+I21*(1-I17)*I23</f>
        <v>0.07464695153147658264122076</v>
      </c>
      <c r="J38" s="1">
        <f>J22*(1-J23)+J21*(1-J17)*J23</f>
        <v>0.07464695153147658264122076</v>
      </c>
      <c r="K38" s="1">
        <f>K22*(1-K23)+K21*(1-K17)*K23</f>
        <v>0.07464695153147658264122076</v>
      </c>
    </row>
    <row r="39">
      <c r="A39" s="0" t="inlineStr">
        <is>
          <t xml:space="preserve">discount</t>
        </is>
      </c>
      <c r="B39" s="0">
        <f>(1+B38)*1</f>
        <v>1.0746469515341282547427228</v>
      </c>
      <c r="C39" s="0">
        <f>(1+C38)*B39</f>
        <v>1.1548660704410382366270783625622350651739932325555</v>
      </c>
      <c r="D39" s="0">
        <f>(1+D38)*C39</f>
        <v>1.2410733020269078447197248750004630874063965417311</v>
      </c>
      <c r="E39" s="0">
        <f>(1+E38)*D39</f>
        <v>1.3337156406549994033127704045184678330638204704698</v>
      </c>
      <c r="F39" s="0">
        <f>(1+F38)*E39</f>
        <v>1.4332734474397453825873534953882043867296054532863</v>
      </c>
      <c r="G39" s="0">
        <f>(1+G38)*F39</f>
        <v>1.5402629410021324054495051411210689461476245670850</v>
      </c>
      <c r="H39" s="0">
        <f>(1+H38)*G39</f>
        <v>1.6552388741048481582673360435535451334757411368090</v>
      </c>
      <c r="I39" s="0">
        <f>(1+I38)*H39</f>
        <v>1.7787974101131686278641046597171943413326160476823</v>
      </c>
      <c r="J39" s="0">
        <f>(1+J38)*I39</f>
        <v>1.9115792141702023996210146376356173997914950142801</v>
      </c>
      <c r="K39" s="0">
        <f>(1+K38)*J39</f>
        <v>2.0542727751189435920007763499706809947098353678446</v>
      </c>
    </row>
    <row r="40">
      <c r="A40" s="0" t="inlineStr">
        <is>
          <t xml:space="preserve">cashFlow</t>
        </is>
      </c>
      <c r="B40" s="0">
        <f>B33+B34</f>
        <v>1966319319.00000101360252625113765247500000</v>
      </c>
      <c r="C40" s="0">
        <f>C33+C34</f>
        <v>2121907508.9999993216778653313853532001027169187544</v>
      </c>
      <c r="D40" s="0">
        <f>D33+D34</f>
        <v>2276643511.9999994830272837385556298702843594361723</v>
      </c>
      <c r="E40" s="0">
        <f>E33+E34</f>
        <v>2429691764.9999998156799749888792015340033666756741</v>
      </c>
      <c r="F40" s="0">
        <f>F33+F34</f>
        <v>2580470476.9999997488423620485452617592626718221759</v>
      </c>
      <c r="G40" s="0">
        <f>G33+G34</f>
        <v>2587576319.7051630792642360797308696364835099277285</v>
      </c>
      <c r="H40" s="0">
        <f>H33+H34</f>
        <v>2605858258.8542348344020236962021922163191164519416</v>
      </c>
      <c r="I40" s="0">
        <f>I33+I34</f>
        <v>2635504717.9684749817215640846445084038689874417913</v>
      </c>
      <c r="J40" s="0">
        <f>J33+J34</f>
        <v>2676851636.3677773592774974889930625959868679255375</v>
      </c>
      <c r="K40" s="0">
        <f>K33+K34</f>
        <v>2730388669.0951329064630474387729238479066052840484</v>
      </c>
    </row>
    <row r="41">
      <c r="A41" s="0" t="inlineStr">
        <is>
          <t xml:space="preserve">pv</t>
        </is>
      </c>
      <c r="B41" s="0">
        <f>B40/B39</f>
        <v>1829735166.6916772952125703977832347585409456644052</v>
      </c>
      <c r="C41" s="0">
        <f>C40/C39</f>
        <v>1837362412.2402801593595499336599136549755823188204</v>
      </c>
      <c r="D41" s="0">
        <f>D40/D39</f>
        <v>1834415024.7062838907084609748933524100908701807355</v>
      </c>
      <c r="E41" s="0">
        <f>E40/E39</f>
        <v>1821746473.4887242999997487198280232262321697285133</v>
      </c>
      <c r="F41" s="0">
        <f>F40/F39</f>
        <v>1800403462.1652211767800377372342872176314646073025</v>
      </c>
      <c r="G41" s="0">
        <f>G40/G39</f>
        <v>1679957525.9673671059783850837257030380151385603721</v>
      </c>
      <c r="H41" s="0">
        <f>H40/H39</f>
        <v>1574309484.6437079174074134062528906579028906523399</v>
      </c>
      <c r="I41" s="0">
        <f>I40/I39</f>
        <v>1481621629.8632916802235264178793887175540135863773</v>
      </c>
      <c r="J41" s="0">
        <f>J40/J39</f>
        <v>1400335187.0143514493006579512643946079855061218462</v>
      </c>
      <c r="K41" s="0">
        <f>K40/K39</f>
        <v>1329126638.9572055784079397175321374256113361219175</v>
      </c>
    </row>
    <row r="42">
      <c r="A42" s="0" t="inlineStr">
        <is>
          <t xml:space="preserve">Valuation bridge</t>
        </is>
      </c>
    </row>
    <row r="43">
      <c r="A43" s="0" t="inlineStr">
        <is>
          <t xml:space="preserve">presentFlows</t>
        </is>
      </c>
      <c r="B43" s="0">
        <f>SUM(B41:K41)</f>
        <v>16589013005.738110553378290340053325714539917542630</v>
      </c>
    </row>
    <row r="44">
      <c r="A44" s="0" t="inlineStr">
        <is>
          <t xml:space="preserve">terminalValue</t>
        </is>
      </c>
      <c r="B44" s="0">
        <f>IF(K38&lt;=$B$10,NA(),K40*(1+$B$10)/(K38-$B$10))</f>
        <v>50963436466.769436259686626592390433076914881181608</v>
      </c>
    </row>
    <row r="45">
      <c r="A45" s="0" t="inlineStr">
        <is>
          <t xml:space="preserve">presentTerminalValue</t>
        </is>
      </c>
      <c r="B45" s="0">
        <f>B44/K39</f>
        <v>24808505026.222052502106718225882892131227009175135</v>
      </c>
    </row>
    <row r="46">
      <c r="A46" s="0" t="inlineStr">
        <is>
          <t xml:space="preserve">enterpriseValue</t>
        </is>
      </c>
      <c r="B46" s="0">
        <f>B43+B45</f>
        <v>41397518031.960163055485008565936217845766926717765</v>
      </c>
    </row>
    <row r="47">
      <c r="A47" s="0" t="inlineStr">
        <is>
          <t xml:space="preserve">netDebt</t>
        </is>
      </c>
      <c r="B47" s="0">
        <f>$B$8</f>
        <v>52515000000</v>
      </c>
    </row>
    <row r="48">
      <c r="A48" s="0" t="inlineStr">
        <is>
          <t xml:space="preserve">equityValue</t>
        </is>
      </c>
      <c r="B48" s="0">
        <f>B46-$B$8</f>
        <v>-11117481968.039836944514991434063782154233073282235</v>
      </c>
    </row>
    <row r="49">
      <c r="A49" s="0" t="inlineStr">
        <is>
          <t xml:space="preserve">targetPrice</t>
        </is>
      </c>
      <c r="B49" s="0">
        <f>B48/$B$9</f>
        <v>-4.2315021843949242538052052772175218517841299255155</v>
      </c>
    </row>
    <row r="50">
      <c r="A50" s="0" t="inlineStr">
        <is>
          <t xml:space="preserve">Interpretation</t>
        </is>
      </c>
      <c r="B50" s="0" t="inlineStr">
        <is>
          <t xml:space="preserve">Negative equity/terminal cash flow is retained for review, not a tradable negative share price.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54" customWidth="1"/>
    <col min="2" max="30" width="22" customWidth="1"/>
  </cols>
  <sheetData>
    <row r="1">
      <c r="A1" s="0" t="inlineStr">
        <is>
          <t xml:space="preserve">Actual annual reference (not TTM)</t>
        </is>
      </c>
    </row>
    <row r="2">
      <c r="A2" s="0" t="inlineStr">
        <is>
          <t xml:space="preserve">Period</t>
        </is>
      </c>
      <c r="B2" s="0" t="inlineStr">
        <is>
          <t xml:space="preserve">2026-03-31</t>
        </is>
      </c>
    </row>
    <row r="3">
      <c r="A3" s="0" t="inlineStr">
        <is>
          <t xml:space="preserve">Currency</t>
        </is>
      </c>
      <c r="B3" s="0" t="inlineStr">
        <is>
          <t xml:space="preserve">HKD</t>
        </is>
      </c>
    </row>
    <row r="4">
      <c r="A4" s="0" t="inlineStr">
        <is>
          <t xml:space="preserve">Status</t>
        </is>
      </c>
      <c r="B4" s="0" t="inlineStr">
        <is>
          <t xml:space="preserve">Available</t>
        </is>
      </c>
    </row>
    <row r="5">
      <c r="A5" s="0" t="inlineStr">
        <is>
          <t xml:space="preserve">Field</t>
        </is>
      </c>
      <c r="B5" s="0" t="inlineStr">
        <is>
          <t xml:space="preserve">Amount (currency units)</t>
        </is>
      </c>
      <c r="C5" s="0" t="inlineStr">
        <is>
          <t xml:space="preserve">Ratio</t>
        </is>
      </c>
      <c r="D5" s="0" t="inlineStr">
        <is>
          <t xml:space="preserve">Source</t>
        </is>
      </c>
      <c r="E5" s="0" t="inlineStr">
        <is>
          <t xml:space="preserve">Basis</t>
        </is>
      </c>
      <c r="F5" s="0" t="inlineStr">
        <is>
          <t xml:space="preserve">Provenance</t>
        </is>
      </c>
    </row>
    <row r="6">
      <c r="A6" s="0" t="inlineStr">
        <is>
          <t xml:space="preserve">growth</t>
        </is>
      </c>
      <c r="B6" s="0">
        <v>14003000000</v>
      </c>
      <c r="C6" s="1">
        <v>-0.015467904098994567</v>
      </c>
      <c r="D6" s="0" t="inlineStr">
        <is>
          <t xml:space="preserve">fmpStandardizedActual</t>
        </is>
      </c>
      <c r="E6" s="0" t="inlineStr">
        <is>
          <t xml:space="preserve">annualRevenueGrowth</t>
        </is>
      </c>
      <c r="F6" s="0" t="inlineStr">
        <is>
          <t xml:space="preserve">{"date": "2026-03-31", "currencyConversion": {"rate": 1, "basis": "average", "start": "2025-04-01", "end": "2026-03-31", "observationDate": "2026-03-31", "reason": null, "sourceCurrency": "HKD", "target": "HKD"}, "documents": []}</t>
        </is>
      </c>
    </row>
    <row r="7">
      <c r="A7" s="0" t="inlineStr">
        <is>
          <t xml:space="preserve">ebitda</t>
        </is>
      </c>
      <c r="B7" s="0">
        <v>-4792000000</v>
      </c>
      <c r="C7" s="1">
        <v>-0.3422123830607727</v>
      </c>
      <c r="D7" s="0" t="inlineStr">
        <is>
          <t xml:space="preserve">fmpStandardizedActual</t>
        </is>
      </c>
      <c r="E7" s="0" t="inlineStr">
        <is>
          <t xml:space="preserve">revenueRatio</t>
        </is>
      </c>
      <c r="F7" s="0" t="inlineStr">
        <is>
          <t xml:space="preserve">{"date": "2026-03-31", "currencyConversion": {"rate": 1, "basis": "average", "start": "2025-04-01", "end": "2026-03-31", "observationDate": "2026-03-31", "reason": null, "sourceCurrency": "HKD", "target": "HKD"}, "documents": []}</t>
        </is>
      </c>
    </row>
    <row r="8">
      <c r="A8" s="0" t="inlineStr">
        <is>
          <t xml:space="preserve">ebit</t>
        </is>
      </c>
      <c r="B8" s="0">
        <v>-4882000000</v>
      </c>
      <c r="C8" s="1">
        <v>-0.34863957723344996</v>
      </c>
      <c r="D8" s="0" t="inlineStr">
        <is>
          <t xml:space="preserve">fmpStandardizedActual</t>
        </is>
      </c>
      <c r="E8" s="0" t="inlineStr">
        <is>
          <t xml:space="preserve">revenueRatio</t>
        </is>
      </c>
      <c r="F8" s="0" t="inlineStr">
        <is>
          <t xml:space="preserve">{"date": "2026-03-31", "currencyConversion": {"rate": 1, "basis": "average", "start": "2025-04-01", "end": "2026-03-31", "observationDate": "2026-03-31", "reason": null, "sourceCurrency": "HKD", "target": "HKD"}, "documents": []}</t>
        </is>
      </c>
    </row>
    <row r="9">
      <c r="A9" s="0" t="inlineStr">
        <is>
          <t xml:space="preserve">da</t>
        </is>
      </c>
      <c r="B9" s="0">
        <v>90000000</v>
      </c>
      <c r="C9" s="1">
        <v>0.006427194172677284</v>
      </c>
      <c r="D9" s="0" t="inlineStr">
        <is>
          <t xml:space="preserve">fmpStandardizedActual</t>
        </is>
      </c>
      <c r="E9" s="0" t="inlineStr">
        <is>
          <t xml:space="preserve">revenueRatio</t>
        </is>
      </c>
      <c r="F9" s="0" t="inlineStr">
        <is>
          <t xml:space="preserve">{"date": "2026-03-31", "currencyConversion": {"rate": 1, "basis": "average", "start": "2025-04-01", "end": "2026-03-31", "observationDate": "2026-03-31", "reason": null, "sourceCurrency": "HKD", "target": "HKD"}, "documents": []}</t>
        </is>
      </c>
    </row>
    <row r="10">
      <c r="A10" s="0" t="inlineStr">
        <is>
          <t xml:space="preserve">cash</t>
        </is>
      </c>
      <c r="B10" s="0">
        <v>3805000000</v>
      </c>
      <c r="C10" s="1">
        <v>0.2717274869670785</v>
      </c>
      <c r="D10" s="0" t="inlineStr">
        <is>
          <t xml:space="preserve">fmpStandardizedActual</t>
        </is>
      </c>
      <c r="E10" s="0" t="inlineStr">
        <is>
          <t xml:space="preserve">closingBalanceRevenueRatio</t>
        </is>
      </c>
      <c r="F10" s="0" t="inlineStr">
        <is>
          <t xml:space="preserve">{"date": "2026-03-31", "currencyConversion": {"rate": 1, "basis": "closing", "start": "2025-04-01", "end": "2026-03-31", "observationDate": "2026-03-31", "reason": null, "sourceCurrency": "HKD", "target": "HKD"}, "documents": []}</t>
        </is>
      </c>
    </row>
    <row r="11">
      <c r="A11" s="0" t="inlineStr">
        <is>
          <t xml:space="preserve">receivables</t>
        </is>
      </c>
      <c r="B11" s="0">
        <v>1094000000</v>
      </c>
      <c r="C11" s="1">
        <v>0.07812611583232165</v>
      </c>
      <c r="D11" s="0" t="inlineStr">
        <is>
          <t xml:space="preserve">fmpStandardizedActual</t>
        </is>
      </c>
      <c r="E11" s="0" t="inlineStr">
        <is>
          <t xml:space="preserve">closingBalanceRevenueRatio</t>
        </is>
      </c>
      <c r="F11" s="0" t="inlineStr">
        <is>
          <t xml:space="preserve">{"date": "2026-03-31", "currencyConversion": {"rate": 1, "basis": "closing", "start": "2025-04-01", "end": "2026-03-31", "observationDate": "2026-03-31", "reason": null, "sourceCurrency": "HKD", "target": "HKD"}, "documents": []}</t>
        </is>
      </c>
    </row>
    <row r="12">
      <c r="A12" s="0" t="inlineStr">
        <is>
          <t xml:space="preserve">inventories</t>
        </is>
      </c>
      <c r="B12" s="0">
        <v>0</v>
      </c>
      <c r="C12" s="1">
        <v>0</v>
      </c>
      <c r="D12" s="0" t="inlineStr">
        <is>
          <t xml:space="preserve">fmpStandardizedActual</t>
        </is>
      </c>
      <c r="E12" s="0" t="inlineStr">
        <is>
          <t xml:space="preserve">closingBalanceRevenueRatio</t>
        </is>
      </c>
      <c r="F12" s="0" t="inlineStr">
        <is>
          <t xml:space="preserve">{"date": "2026-03-31", "currencyConversion": {"rate": 1, "basis": "closing", "start": "2025-04-01", "end": "2026-03-31", "observationDate": "2026-03-31", "reason": null, "sourceCurrency": "HKD", "target": "HKD"}, "documents": []}</t>
        </is>
      </c>
    </row>
    <row r="13">
      <c r="A13" s="0" t="inlineStr">
        <is>
          <t xml:space="preserve">payables</t>
        </is>
      </c>
      <c r="B13" s="0">
        <v>136000000</v>
      </c>
      <c r="C13" s="1">
        <v>0.009712204527601229</v>
      </c>
      <c r="D13" s="0" t="inlineStr">
        <is>
          <t xml:space="preserve">fmpStandardizedActual</t>
        </is>
      </c>
      <c r="E13" s="0" t="inlineStr">
        <is>
          <t xml:space="preserve">closingBalanceRevenueRatio</t>
        </is>
      </c>
      <c r="F13" s="0" t="inlineStr">
        <is>
          <t xml:space="preserve">{"date": "2026-03-31", "currencyConversion": {"rate": 1, "basis": "closing", "start": "2025-04-01", "end": "2026-03-31", "observationDate": "2026-03-31", "reason": null, "sourceCurrency": "HKD", "target": "HKD"}, "documents": []}</t>
        </is>
      </c>
    </row>
    <row r="14">
      <c r="A14" s="0" t="inlineStr">
        <is>
          <t xml:space="preserve">cfo</t>
        </is>
      </c>
      <c r="B14" s="0">
        <v>8461000000</v>
      </c>
      <c r="C14" s="1">
        <v>0.60422766550024996</v>
      </c>
      <c r="D14" s="0" t="inlineStr">
        <is>
          <t xml:space="preserve">officialReport</t>
        </is>
      </c>
      <c r="E14" s="0" t="inlineStr">
        <is>
          <t xml:space="preserve">reportedCfoNotFmpReclassified</t>
        </is>
      </c>
      <c r="F14" s="0" t="inlineStr">
        <is>
          <t xml:space="preserve">{"title": "Link REIT Annual Report 2025/2026, Governance, Disclosures and Financial Statements", "url": "https://www.linkreit.com/-/media/linkreit/investor-relations/financial-reports-and-presentations/financial-report/2026/fy2526-annual-report_governance-disclosures-and-financial-statements_b2_en.pdf?rev=6d28d1c56614433fb185c3b1210fce86&amp;hash=1526F2F567F1DACA81E177AA69545FD5", "sha256": "73734a23c216add2661fcedfa9fca0aeb66afb3f5d3b8a94026a3d9748198ec9", "modifiedDate": "2026-06-11", "pdfPages": [114, 117, 119, 133, 141, 142, 143, 144, 149, 160, 161]}</t>
        </is>
      </c>
    </row>
    <row r="15">
      <c r="A15" s="0" t="inlineStr">
        <is>
          <t xml:space="preserve">capex</t>
        </is>
      </c>
      <c r="B15" s="0">
        <v>-1934000000</v>
      </c>
      <c r="C15" s="1">
        <v>-0.1381132614439763</v>
      </c>
      <c r="D15" s="0" t="inlineStr">
        <is>
          <t xml:space="preserve">officialReport</t>
        </is>
      </c>
      <c r="E15" s="0" t="inlineStr">
        <is>
          <t xml:space="preserve">propertyAndPpeCashAdditions</t>
        </is>
      </c>
      <c r="F15" s="0" t="inlineStr">
        <is>
          <t xml:space="preserve">{"title": "Link REIT Annual Report 2025/2026, Governance, Disclosures and Financial Statements", "url": "https://www.linkreit.com/-/media/linkreit/investor-relations/financial-reports-and-presentations/financial-report/2026/fy2526-annual-report_governance-disclosures-and-financial-statements_b2_en.pdf?rev=6d28d1c56614433fb185c3b1210fce86&amp;hash=1526F2F567F1DACA81E177AA69545FD5", "sha256": "73734a23c216add2661fcedfa9fca0aeb66afb3f5d3b8a94026a3d9748198ec9", "modifiedDate": "2026-06-11", "pdfPages": [114, 117, 119, 133, 141, 142, 143, 144, 149, 160, 161]}</t>
        </is>
      </c>
    </row>
    <row r="16">
      <c r="A16" s="0" t="inlineStr">
        <is>
          <t xml:space="preserve">tax</t>
        </is>
      </c>
      <c r="B16" s="0">
        <v>947000000</v>
      </c>
      <c r="C16" s="1">
        <v>-0.13836937463471655</v>
      </c>
      <c r="D16" s="0" t="inlineStr">
        <is>
          <t xml:space="preserve">fmpStandardizedActual</t>
        </is>
      </c>
      <c r="E16" s="0" t="inlineStr">
        <is>
          <t xml:space="preserve">historicalEffectiveTaxNotForecastOperatingTax</t>
        </is>
      </c>
      <c r="F16" s="0" t="inlineStr">
        <is>
          <t xml:space="preserve">{"date": "2026-03-31", "currencyConversion": {"rate": 1, "basis": "average", "start": "2025-04-01", "end": "2026-03-31", "observationDate": "2026-03-31", "reason": null, "sourceCurrency": "HKD", "target": "HKD"}, "documents": []}</t>
        </is>
      </c>
    </row>
    <row r="17">
      <c r="A17" s="0" t="inlineStr">
        <is>
          <t xml:space="preserve">Financing parameters</t>
        </is>
      </c>
      <c r="B17" s="0" t="inlineStr">
        <is>
          <t xml:space="preserve">Beta, rf, ERP, Kd, Ke and debt weight are assumptions, not invented financial-statement actuals.</t>
        </is>
      </c>
    </row>
    <row r="18">
      <c r="A18" s="0" t="inlineStr">
        <is>
          <t xml:space="preserve">FX provenance</t>
        </is>
      </c>
      <c r="B18" s="0" t="inlineStr">
        <is>
          <t xml:space="preserve">{"rate": 1, "basis": "average", "start": "2025-04-01", "end": "2026-03-31", "observationDate": "2026-03-31", "reason": null, "sourceCurrency": "HKD", "target": "HKD"}</t>
        </is>
      </c>
    </row>
  </sheetData>
</worksheet>
</file>