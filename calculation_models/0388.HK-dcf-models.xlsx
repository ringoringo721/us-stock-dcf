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Native Advanced" sheetId="2" r:id="rId2"/>
    <sheet name="10Y Advanced" sheetId="3" r:id="rId3"/>
    <sheet name="Native CFO" sheetId="4" r:id="rId4"/>
    <sheet name="10Y CFO" sheetId="5" r:id="rId5"/>
    <sheet name="Actual FY reference" sheetId="6" r:id="rId6"/>
  </sheets>
  <calcPr calcId="0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FMP original API vs site ten-year calculation workbook</t>
        </is>
      </c>
    </row>
    <row r="2">
      <c r="A2" s="0" t="inlineStr">
        <is>
          <t xml:space="preserve">Native tabs</t>
        </is>
      </c>
      <c r="B2" s="0" t="inlineStr">
        <is>
          <t xml:space="preserve">Unmodified API data and explicit reconciliation checks. FMP internals/discount dates are not independently certified.</t>
        </is>
      </c>
    </row>
    <row r="3">
      <c r="A3" s="0" t="inlineStr">
        <is>
          <t xml:space="preserve">Scenario tabs</t>
        </is>
      </c>
      <c r="B3" s="0" t="inlineStr">
        <is>
          <t xml:space="preserve">Site formula-based ten-year models. Change numeric assumptions; Excel recalculates formulas on opening.</t>
        </is>
      </c>
    </row>
    <row r="4">
      <c r="A4" s="0" t="inlineStr">
        <is>
          <t xml:space="preserve">Precision</t>
        </is>
      </c>
      <c r="B4" s="0" t="inlineStr">
        <is>
          <t xml:space="preserve">Full source precision retained. Percentages format to 2dp without rounding calculations. Rates are stored as fractions in scenario tabs.</t>
        </is>
      </c>
    </row>
    <row r="5">
      <c r="A5" s="0" t="inlineStr">
        <is>
          <t xml:space="preserve">CAPM</t>
        </is>
      </c>
      <c r="B5" s="0" t="inlineStr">
        <is>
          <t xml:space="preserve">Initial Ke retained until rf/beta/erp change. Optional Ke override has precedence. EBIT derives from EBITDA less DA.</t>
        </is>
      </c>
    </row>
    <row r="6">
      <c r="A6" s="0" t="inlineStr">
        <is>
          <t xml:space="preserve">Forecast origin</t>
        </is>
      </c>
      <c r="B6" s="0" t="inlineStr">
        <is>
          <t xml:space="preserve">Scenario columns distinguish vendor projection years from standard extensions, with per-field origins. Extensions are not analyst consensus.</t>
        </is>
      </c>
    </row>
    <row r="7">
      <c r="A7" s="0" t="inlineStr">
        <is>
          <t xml:space="preserve">Actual reference</t>
        </is>
      </c>
      <c r="B7" s="0" t="inlineStr">
        <is>
          <t xml:space="preserve">Reference only; exact annual financial period, not fabricated TTM. Actual balances are FY-end snapshots. Capital costs/beta unavailable as reported actuals.</t>
        </is>
      </c>
    </row>
    <row r="8">
      <c r="A8" s="0" t="inlineStr">
        <is>
          <t xml:space="preserve">Currency</t>
        </is>
      </c>
      <c r="B8" s="0" t="inlineStr">
        <is>
          <t xml:space="preserve">Financial actuals use historical FX; FMP model baseline may use spot FX. Do not mix annual actual values into model baseline without review.</t>
        </is>
      </c>
    </row>
    <row r="9">
      <c r="A9" s="0" t="inlineStr">
        <is>
          <t xml:space="preserve">CFO method</t>
        </is>
      </c>
      <c r="B9" s="0" t="inlineStr">
        <is>
          <t xml:space="preserve">CFO+negative CapEx with vendor-style WACC/EV less debt, NOT independently defined FCFE discounted at Ke.</t>
        </is>
      </c>
    </row>
    <row r="10">
      <c r="A10" s="0" t="inlineStr">
        <is>
          <t xml:space="preserve">Limitations</t>
        </is>
      </c>
      <c r="B10" s="0" t="inlineStr">
        <is>
          <t xml:space="preserve">Gordon growth uses year-ten cash flow, WACC and annual growth; negative terminal cash flow/equity is retained for review, not a reliable positive going-concern price.</t>
        </is>
      </c>
    </row>
    <row r="11">
      <c r="A11" s="0" t="inlineStr">
        <is>
          <t xml:space="preserve">Tax</t>
        </is>
      </c>
      <c r="B11" s="0" t="inlineStr">
        <is>
          <t xml:space="preserve">Historical effective tax is not forecast operating tax. Scenario operating tax is also used in the debt tax shield. No separate loss-carryforward engine.</t>
        </is>
      </c>
    </row>
    <row r="12">
      <c r="A12" s="0" t="inlineStr">
        <is>
          <t xml:space="preserve">Editing limits</t>
        </is>
      </c>
      <c r="B12" s="0" t="inlineStr">
        <is>
          <t xml:space="preserve">Use valid numeric assumptions. The workbook is a transparent calculation template, not the website's full input-validation UI. Terminal WACC &lt;= growth returns #N/A.</t>
        </is>
      </c>
    </row>
    <row r="13">
      <c r="A13" s="0" t="inlineStr">
        <is>
          <t xml:space="preserve">Save/deployment</t>
        </is>
      </c>
      <c r="B13" s="0" t="inlineStr">
        <is>
          <t xml:space="preserve">Workbook editing does not save website targets or deploy any changes. JSON preserves full provenance and assumptions.</t>
        </is>
      </c>
    </row>
    <row r="14">
      <c r="A14" s="0" t="inlineStr">
        <is>
          <t xml:space="preserve">Audit</t>
        </is>
      </c>
      <c r="B14" s="0" t="inlineStr">
        <is>
          <t xml:space="preserve">{"auditedScenarios": 2, "maxMonetaryDifference": "0.0003600910742056059177989142850", "maxPerShareDifference": "3.179852448797092173193332197E-13", "tolerance": "0.01 currency units; 1e-8 per share; 1e-12 WACC/discount factor"}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0388.HK: ORIGINAL FMP API advanced</t>
        </is>
      </c>
    </row>
    <row r="2">
      <c r="A2" s="0" t="inlineStr">
        <is>
          <t xml:space="preserve">Raw API units retained. WACC/rate fields are percentage points; amount ratio fields retain API units.</t>
        </is>
      </c>
    </row>
    <row r="3">
      <c r="A3" s="0" t="inlineStr">
        <is>
          <t xml:space="preserve">Source captured</t>
        </is>
      </c>
      <c r="B3" s="0" t="inlineStr">
        <is>
          <t xml:space="preserve">2026-10-18T06:55:59.573Z</t>
        </is>
      </c>
    </row>
    <row r="4">
      <c r="A4" s="0" t="inlineStr">
        <is>
          <t xml:space="preserve">Model year (NOT point-in-time history)</t>
        </is>
      </c>
      <c r="B4" s="0" t="inlineStr">
        <is>
          <t xml:space="preserve">2021</t>
        </is>
      </c>
      <c r="C4" s="0" t="inlineStr">
        <is>
          <t xml:space="preserve">2022</t>
        </is>
      </c>
      <c r="D4" s="0" t="inlineStr">
        <is>
          <t xml:space="preserve">2023</t>
        </is>
      </c>
      <c r="E4" s="0" t="inlineStr">
        <is>
          <t xml:space="preserve">2024</t>
        </is>
      </c>
      <c r="F4" s="0" t="inlineStr">
        <is>
          <t xml:space="preserve">2025</t>
        </is>
      </c>
      <c r="G4" s="0" t="inlineStr">
        <is>
          <t xml:space="preserve">2026</t>
        </is>
      </c>
      <c r="H4" s="0" t="inlineStr">
        <is>
          <t xml:space="preserve">2027</t>
        </is>
      </c>
      <c r="I4" s="0" t="inlineStr">
        <is>
          <t xml:space="preserve">2028</t>
        </is>
      </c>
      <c r="J4" s="0" t="inlineStr">
        <is>
          <t xml:space="preserve">2029</t>
        </is>
      </c>
      <c r="K4" s="0" t="inlineStr">
        <is>
          <t xml:space="preserve">2030</t>
        </is>
      </c>
    </row>
    <row r="5">
      <c r="A5" s="0" t="inlineStr">
        <is>
          <t xml:space="preserve">symbol</t>
        </is>
      </c>
      <c r="B5" s="0" t="inlineStr">
        <is>
          <t xml:space="preserve">0388.HK</t>
        </is>
      </c>
      <c r="C5" s="0" t="inlineStr">
        <is>
          <t xml:space="preserve">0388.HK</t>
        </is>
      </c>
      <c r="D5" s="0" t="inlineStr">
        <is>
          <t xml:space="preserve">0388.HK</t>
        </is>
      </c>
      <c r="E5" s="0" t="inlineStr">
        <is>
          <t xml:space="preserve">0388.HK</t>
        </is>
      </c>
      <c r="F5" s="0" t="inlineStr">
        <is>
          <t xml:space="preserve">0388.HK</t>
        </is>
      </c>
      <c r="G5" s="0" t="inlineStr">
        <is>
          <t xml:space="preserve">0388.HK</t>
        </is>
      </c>
      <c r="H5" s="0" t="inlineStr">
        <is>
          <t xml:space="preserve">0388.HK</t>
        </is>
      </c>
      <c r="I5" s="0" t="inlineStr">
        <is>
          <t xml:space="preserve">0388.HK</t>
        </is>
      </c>
      <c r="J5" s="0" t="inlineStr">
        <is>
          <t xml:space="preserve">0388.HK</t>
        </is>
      </c>
      <c r="K5" s="0" t="inlineStr">
        <is>
          <t xml:space="preserve">0388.HK</t>
        </is>
      </c>
    </row>
    <row r="6">
      <c r="A6" s="0" t="inlineStr">
        <is>
          <t xml:space="preserve">revenue</t>
        </is>
      </c>
      <c r="B6" s="0">
        <v>19471000000</v>
      </c>
      <c r="C6" s="0">
        <v>16934000000</v>
      </c>
      <c r="D6" s="0">
        <v>15445000000</v>
      </c>
      <c r="E6" s="0">
        <v>17346000000</v>
      </c>
      <c r="F6" s="0">
        <v>29161000000</v>
      </c>
      <c r="G6" s="0">
        <v>33433034140</v>
      </c>
      <c r="H6" s="0">
        <v>38330913611</v>
      </c>
      <c r="I6" s="0">
        <v>43946323630</v>
      </c>
      <c r="J6" s="0">
        <v>50384381134</v>
      </c>
      <c r="K6" s="0">
        <v>57765602502</v>
      </c>
    </row>
    <row r="7">
      <c r="A7" s="0" t="inlineStr">
        <is>
          <t xml:space="preserve">revenuePercentage</t>
        </is>
      </c>
      <c r="B7" s="0">
        <v>0</v>
      </c>
      <c r="C7" s="0">
        <v>-13.03</v>
      </c>
      <c r="D7" s="0">
        <v>-8.79</v>
      </c>
      <c r="E7" s="0">
        <v>12.31</v>
      </c>
      <c r="F7" s="0">
        <v>68.11</v>
      </c>
      <c r="G7" s="0">
        <v>14.65</v>
      </c>
      <c r="H7" s="0">
        <v>14.65</v>
      </c>
      <c r="I7" s="0">
        <v>14.65</v>
      </c>
      <c r="J7" s="0">
        <v>14.65</v>
      </c>
      <c r="K7" s="0">
        <v>14.65</v>
      </c>
    </row>
    <row r="8">
      <c r="A8" s="0" t="inlineStr">
        <is>
          <t xml:space="preserve">ebitda</t>
        </is>
      </c>
      <c r="B8" s="0">
        <v>16342000000</v>
      </c>
      <c r="C8" s="0">
        <v>15476000000</v>
      </c>
      <c r="D8" s="0">
        <v>20870000000</v>
      </c>
      <c r="E8" s="0">
        <v>22146000000</v>
      </c>
      <c r="F8" s="0">
        <v>22822000000</v>
      </c>
      <c r="G8" s="0">
        <v>30329252484</v>
      </c>
      <c r="H8" s="0">
        <v>34772433516</v>
      </c>
      <c r="I8" s="0">
        <v>39866532590</v>
      </c>
      <c r="J8" s="0">
        <v>45706908032</v>
      </c>
      <c r="K8" s="0">
        <v>52402887990</v>
      </c>
    </row>
    <row r="9">
      <c r="A9" s="0" t="inlineStr">
        <is>
          <t xml:space="preserve">ebitdaPercentage</t>
        </is>
      </c>
      <c r="B9" s="0">
        <v>83.93</v>
      </c>
      <c r="C9" s="0">
        <v>91.39</v>
      </c>
      <c r="D9" s="0">
        <v>135.12</v>
      </c>
      <c r="E9" s="0">
        <v>127.67</v>
      </c>
      <c r="F9" s="0">
        <v>78.26</v>
      </c>
      <c r="G9" s="0">
        <v>90.72</v>
      </c>
      <c r="H9" s="0">
        <v>90.72</v>
      </c>
      <c r="I9" s="0">
        <v>90.72</v>
      </c>
      <c r="J9" s="0">
        <v>90.72</v>
      </c>
      <c r="K9" s="0">
        <v>90.72</v>
      </c>
    </row>
    <row r="10">
      <c r="A10" s="0" t="inlineStr">
        <is>
          <t xml:space="preserve">ebit</t>
        </is>
      </c>
      <c r="B10" s="0">
        <v>14988000000</v>
      </c>
      <c r="C10" s="0">
        <v>14017000000</v>
      </c>
      <c r="D10" s="0">
        <v>19427000000</v>
      </c>
      <c r="E10" s="0">
        <v>20744000000</v>
      </c>
      <c r="F10" s="0">
        <v>21254000000</v>
      </c>
      <c r="G10" s="0">
        <v>28928623750</v>
      </c>
      <c r="H10" s="0">
        <v>33166615186</v>
      </c>
      <c r="I10" s="0">
        <v>38025464759</v>
      </c>
      <c r="J10" s="0">
        <v>43596127069</v>
      </c>
      <c r="K10" s="0">
        <v>49982881406</v>
      </c>
    </row>
    <row r="11">
      <c r="A11" s="0" t="inlineStr">
        <is>
          <t xml:space="preserve">ebitPercentage</t>
        </is>
      </c>
      <c r="B11" s="0">
        <v>76.98</v>
      </c>
      <c r="C11" s="0">
        <v>82.77</v>
      </c>
      <c r="D11" s="0">
        <v>125.78</v>
      </c>
      <c r="E11" s="0">
        <v>119.59</v>
      </c>
      <c r="F11" s="0">
        <v>72.89</v>
      </c>
      <c r="G11" s="0">
        <v>86.53</v>
      </c>
      <c r="H11" s="0">
        <v>86.53</v>
      </c>
      <c r="I11" s="0">
        <v>86.53</v>
      </c>
      <c r="J11" s="0">
        <v>86.53</v>
      </c>
      <c r="K11" s="0">
        <v>86.53</v>
      </c>
    </row>
    <row r="12">
      <c r="A12" s="0" t="inlineStr">
        <is>
          <t xml:space="preserve">depreciation</t>
        </is>
      </c>
      <c r="B12" s="0">
        <v>1354000000</v>
      </c>
      <c r="C12" s="0">
        <v>1459000000</v>
      </c>
      <c r="D12" s="0">
        <v>1443000000</v>
      </c>
      <c r="E12" s="0">
        <v>1402000000</v>
      </c>
      <c r="F12" s="0">
        <v>1568000000</v>
      </c>
      <c r="G12" s="0">
        <v>2565795681</v>
      </c>
      <c r="H12" s="0">
        <v>2941680141</v>
      </c>
      <c r="I12" s="0">
        <v>3372631000</v>
      </c>
      <c r="J12" s="0">
        <v>3866715386</v>
      </c>
      <c r="K12" s="0">
        <v>4433182247</v>
      </c>
    </row>
    <row r="13">
      <c r="A13" s="0" t="inlineStr">
        <is>
          <t xml:space="preserve">depreciationPercentage</t>
        </is>
      </c>
      <c r="B13" s="0">
        <v>6.95</v>
      </c>
      <c r="C13" s="0">
        <v>8.62</v>
      </c>
      <c r="D13" s="0">
        <v>9.34</v>
      </c>
      <c r="E13" s="0">
        <v>8.08</v>
      </c>
      <c r="F13" s="0">
        <v>5.38</v>
      </c>
      <c r="G13" s="0">
        <v>7.67</v>
      </c>
      <c r="H13" s="0">
        <v>7.67</v>
      </c>
      <c r="I13" s="0">
        <v>7.67</v>
      </c>
      <c r="J13" s="0">
        <v>7.67</v>
      </c>
      <c r="K13" s="0">
        <v>7.67</v>
      </c>
    </row>
    <row r="14">
      <c r="A14" s="0" t="inlineStr">
        <is>
          <t xml:space="preserve">totalCash</t>
        </is>
      </c>
      <c r="B14" s="0">
        <v>342333000000</v>
      </c>
      <c r="C14" s="0">
        <v>276389000000</v>
      </c>
      <c r="D14" s="0">
        <v>224698000000</v>
      </c>
      <c r="E14" s="0">
        <v>230910000000</v>
      </c>
      <c r="F14" s="0">
        <v>318256000000</v>
      </c>
      <c r="G14" s="0">
        <v>33433034140</v>
      </c>
      <c r="H14" s="0">
        <v>38330913611</v>
      </c>
      <c r="I14" s="0">
        <v>43946323630</v>
      </c>
      <c r="J14" s="0">
        <v>50384381134</v>
      </c>
      <c r="K14" s="0">
        <v>57765602502</v>
      </c>
    </row>
    <row r="15">
      <c r="A15" s="0" t="inlineStr">
        <is>
          <t xml:space="preserve">totalCashPercentage</t>
        </is>
      </c>
      <c r="B15" s="0">
        <v>1758.17</v>
      </c>
      <c r="C15" s="0">
        <v>1632.15</v>
      </c>
      <c r="D15" s="0">
        <v>1454.83</v>
      </c>
      <c r="E15" s="0">
        <v>1331.2</v>
      </c>
      <c r="F15" s="0">
        <v>1091.38</v>
      </c>
      <c r="G15" s="0">
        <v>100</v>
      </c>
      <c r="H15" s="0">
        <v>100</v>
      </c>
      <c r="I15" s="0">
        <v>100</v>
      </c>
      <c r="J15" s="0">
        <v>100</v>
      </c>
      <c r="K15" s="0">
        <v>100</v>
      </c>
    </row>
    <row r="16">
      <c r="A16" s="0" t="inlineStr">
        <is>
          <t xml:space="preserve">receivables</t>
        </is>
      </c>
      <c r="B16" s="0">
        <v>32717000000</v>
      </c>
      <c r="C16" s="0">
        <v>25354000000</v>
      </c>
      <c r="D16" s="0">
        <v>33313000000</v>
      </c>
      <c r="E16" s="0">
        <v>33701000000</v>
      </c>
      <c r="F16" s="0">
        <v>67958000000</v>
      </c>
      <c r="G16" s="0">
        <v>33433034140</v>
      </c>
      <c r="H16" s="0">
        <v>38330913611</v>
      </c>
      <c r="I16" s="0">
        <v>43946323630</v>
      </c>
      <c r="J16" s="0">
        <v>50384381134</v>
      </c>
      <c r="K16" s="0">
        <v>57765602502</v>
      </c>
    </row>
    <row r="17">
      <c r="A17" s="0" t="inlineStr">
        <is>
          <t xml:space="preserve">receivablesPercentage</t>
        </is>
      </c>
      <c r="B17" s="0">
        <v>168.03</v>
      </c>
      <c r="C17" s="0">
        <v>149.72</v>
      </c>
      <c r="D17" s="0">
        <v>215.69</v>
      </c>
      <c r="E17" s="0">
        <v>194.29</v>
      </c>
      <c r="F17" s="0">
        <v>233.04</v>
      </c>
      <c r="G17" s="0">
        <v>100</v>
      </c>
      <c r="H17" s="0">
        <v>100</v>
      </c>
      <c r="I17" s="0">
        <v>100</v>
      </c>
      <c r="J17" s="0">
        <v>100</v>
      </c>
      <c r="K17" s="0">
        <v>100</v>
      </c>
    </row>
    <row r="18">
      <c r="A18" s="0" t="inlineStr">
        <is>
          <t xml:space="preserve">inventories</t>
        </is>
      </c>
      <c r="B18" s="0">
        <v>-8491000000</v>
      </c>
      <c r="C18" s="0">
        <v>-6177000000</v>
      </c>
      <c r="D18" s="0">
        <v>0</v>
      </c>
      <c r="E18" s="0">
        <v>0</v>
      </c>
      <c r="F18" s="0">
        <v>0</v>
      </c>
      <c r="G18" s="0">
        <v>-5354992727</v>
      </c>
      <c r="H18" s="0">
        <v>-6139489547</v>
      </c>
      <c r="I18" s="0">
        <v>-7038913742</v>
      </c>
      <c r="J18" s="0">
        <v>-8070101966</v>
      </c>
      <c r="K18" s="0">
        <v>-9252357414</v>
      </c>
    </row>
    <row r="19">
      <c r="A19" s="0" t="inlineStr">
        <is>
          <t xml:space="preserve">inventoriesPercentage</t>
        </is>
      </c>
      <c r="B19" s="0">
        <v>-43.61</v>
      </c>
      <c r="C19" s="0">
        <v>-36.48</v>
      </c>
      <c r="D19" s="0">
        <v>0</v>
      </c>
      <c r="E19" s="0">
        <v>0</v>
      </c>
      <c r="F19" s="0">
        <v>0</v>
      </c>
      <c r="G19" s="0">
        <v>-16.02</v>
      </c>
      <c r="H19" s="0">
        <v>-16.02</v>
      </c>
      <c r="I19" s="0">
        <v>-16.02</v>
      </c>
      <c r="J19" s="0">
        <v>-16.02</v>
      </c>
      <c r="K19" s="0">
        <v>-16.02</v>
      </c>
    </row>
    <row r="20">
      <c r="A20" s="0" t="inlineStr">
        <is>
          <t xml:space="preserve">payable</t>
        </is>
      </c>
      <c r="B20" s="0">
        <v>25722000000</v>
      </c>
      <c r="C20" s="0">
        <v>16338000000</v>
      </c>
      <c r="D20" s="0">
        <v>24767000000</v>
      </c>
      <c r="E20" s="0">
        <v>36109000000</v>
      </c>
      <c r="F20" s="0">
        <v>46259000000</v>
      </c>
      <c r="G20" s="0">
        <v>33197695905</v>
      </c>
      <c r="H20" s="0">
        <v>38061098747</v>
      </c>
      <c r="I20" s="0">
        <v>43636981373</v>
      </c>
      <c r="J20" s="0">
        <v>50029720792</v>
      </c>
      <c r="K20" s="0">
        <v>57358985056</v>
      </c>
    </row>
    <row r="21">
      <c r="A21" s="0" t="inlineStr">
        <is>
          <t xml:space="preserve">payablePercentage</t>
        </is>
      </c>
      <c r="B21" s="0">
        <v>132.1</v>
      </c>
      <c r="C21" s="0">
        <v>96.48</v>
      </c>
      <c r="D21" s="0">
        <v>160.36</v>
      </c>
      <c r="E21" s="0">
        <v>208.17</v>
      </c>
      <c r="F21" s="0">
        <v>158.63</v>
      </c>
      <c r="G21" s="0">
        <v>99.3</v>
      </c>
      <c r="H21" s="0">
        <v>99.3</v>
      </c>
      <c r="I21" s="0">
        <v>99.3</v>
      </c>
      <c r="J21" s="0">
        <v>99.3</v>
      </c>
      <c r="K21" s="0">
        <v>99.3</v>
      </c>
    </row>
    <row r="22">
      <c r="A22" s="0" t="inlineStr">
        <is>
          <t xml:space="preserve">capitalExpenditure</t>
        </is>
      </c>
      <c r="B22" s="0">
        <v>-1070000000</v>
      </c>
      <c r="C22" s="0">
        <v>-1284000000</v>
      </c>
      <c r="D22" s="0">
        <v>-1386000000</v>
      </c>
      <c r="E22" s="0">
        <v>-1604000000</v>
      </c>
      <c r="F22" s="0">
        <v>-1733000000</v>
      </c>
      <c r="G22" s="0">
        <v>-2490190421</v>
      </c>
      <c r="H22" s="0">
        <v>-2854998847</v>
      </c>
      <c r="I22" s="0">
        <v>-3273251051</v>
      </c>
      <c r="J22" s="0">
        <v>-3752776453</v>
      </c>
      <c r="K22" s="0">
        <v>-4302551465</v>
      </c>
    </row>
    <row r="23">
      <c r="A23" s="0" t="inlineStr">
        <is>
          <t xml:space="preserve">capitalExpenditurePercentage</t>
        </is>
      </c>
      <c r="B23" s="0">
        <v>-5.5</v>
      </c>
      <c r="C23" s="0">
        <v>-7.58</v>
      </c>
      <c r="D23" s="0">
        <v>-8.97</v>
      </c>
      <c r="E23" s="0">
        <v>-9.25</v>
      </c>
      <c r="F23" s="0">
        <v>-5.94</v>
      </c>
      <c r="G23" s="0">
        <v>-7.45</v>
      </c>
      <c r="H23" s="0">
        <v>-7.45</v>
      </c>
      <c r="I23" s="0">
        <v>-7.45</v>
      </c>
      <c r="J23" s="0">
        <v>-7.45</v>
      </c>
      <c r="K23" s="0">
        <v>-7.45</v>
      </c>
    </row>
    <row r="24">
      <c r="A24" s="0" t="inlineStr">
        <is>
          <t xml:space="preserve">price</t>
        </is>
      </c>
      <c r="B24" s="0">
        <v>374.6</v>
      </c>
      <c r="C24" s="0">
        <v>374.6</v>
      </c>
      <c r="D24" s="0">
        <v>374.6</v>
      </c>
      <c r="E24" s="0">
        <v>374.6</v>
      </c>
      <c r="F24" s="0">
        <v>374.6</v>
      </c>
      <c r="G24" s="0">
        <v>374.6</v>
      </c>
      <c r="H24" s="0">
        <v>374.6</v>
      </c>
      <c r="I24" s="0">
        <v>374.6</v>
      </c>
      <c r="J24" s="0">
        <v>374.6</v>
      </c>
      <c r="K24" s="0">
        <v>374.6</v>
      </c>
    </row>
    <row r="25">
      <c r="A25" s="0" t="inlineStr">
        <is>
          <t xml:space="preserve">beta</t>
        </is>
      </c>
      <c r="B25" s="0">
        <v>0.933</v>
      </c>
      <c r="C25" s="0">
        <v>0.933</v>
      </c>
      <c r="D25" s="0">
        <v>0.933</v>
      </c>
      <c r="E25" s="0">
        <v>0.933</v>
      </c>
      <c r="F25" s="0">
        <v>0.933</v>
      </c>
      <c r="G25" s="0">
        <v>0.933</v>
      </c>
      <c r="H25" s="0">
        <v>0.933</v>
      </c>
      <c r="I25" s="0">
        <v>0.933</v>
      </c>
      <c r="J25" s="0">
        <v>0.933</v>
      </c>
      <c r="K25" s="0">
        <v>0.933</v>
      </c>
    </row>
    <row r="26">
      <c r="A26" s="0" t="inlineStr">
        <is>
          <t xml:space="preserve">dilutedSharesOutstanding</t>
        </is>
      </c>
      <c r="B26" s="0">
        <v>1267564000</v>
      </c>
      <c r="C26" s="0">
        <v>1267564000</v>
      </c>
      <c r="D26" s="0">
        <v>1267564000</v>
      </c>
      <c r="E26" s="0">
        <v>1267564000</v>
      </c>
      <c r="F26" s="0">
        <v>1267564000</v>
      </c>
      <c r="G26" s="0">
        <v>1267564000</v>
      </c>
      <c r="H26" s="0">
        <v>1267564000</v>
      </c>
      <c r="I26" s="0">
        <v>1267564000</v>
      </c>
      <c r="J26" s="0">
        <v>1267564000</v>
      </c>
      <c r="K26" s="0">
        <v>1267564000</v>
      </c>
    </row>
    <row r="27">
      <c r="A27" s="0" t="inlineStr">
        <is>
          <t xml:space="preserve">costofDebt</t>
        </is>
      </c>
      <c r="B27" s="0">
        <v>5.09</v>
      </c>
      <c r="C27" s="0">
        <v>5.09</v>
      </c>
      <c r="D27" s="0">
        <v>5.09</v>
      </c>
      <c r="E27" s="0">
        <v>5.09</v>
      </c>
      <c r="F27" s="0">
        <v>5.09</v>
      </c>
      <c r="G27" s="0">
        <v>5.09</v>
      </c>
      <c r="H27" s="0">
        <v>5.09</v>
      </c>
      <c r="I27" s="0">
        <v>5.09</v>
      </c>
      <c r="J27" s="0">
        <v>5.09</v>
      </c>
      <c r="K27" s="0">
        <v>5.09</v>
      </c>
    </row>
    <row r="28">
      <c r="A28" s="0" t="inlineStr">
        <is>
          <t xml:space="preserve">taxRate</t>
        </is>
      </c>
      <c r="B28" s="0">
        <v>16.09</v>
      </c>
      <c r="C28" s="0">
        <v>16.09</v>
      </c>
      <c r="D28" s="0">
        <v>16.09</v>
      </c>
      <c r="E28" s="0">
        <v>16.09</v>
      </c>
      <c r="F28" s="0">
        <v>16.09</v>
      </c>
      <c r="G28" s="0">
        <v>16.09</v>
      </c>
      <c r="H28" s="0">
        <v>16.09</v>
      </c>
      <c r="I28" s="0">
        <v>16.09</v>
      </c>
      <c r="J28" s="0">
        <v>16.09</v>
      </c>
      <c r="K28" s="0">
        <v>16.09</v>
      </c>
    </row>
    <row r="29">
      <c r="A29" s="0" t="inlineStr">
        <is>
          <t xml:space="preserve">afterTaxCostOfDebt</t>
        </is>
      </c>
      <c r="B29" s="0">
        <v>4.27</v>
      </c>
      <c r="C29" s="0">
        <v>4.27</v>
      </c>
      <c r="D29" s="0">
        <v>4.27</v>
      </c>
      <c r="E29" s="0">
        <v>4.27</v>
      </c>
      <c r="F29" s="0">
        <v>4.27</v>
      </c>
      <c r="G29" s="0">
        <v>4.27</v>
      </c>
      <c r="H29" s="0">
        <v>4.27</v>
      </c>
      <c r="I29" s="0">
        <v>4.27</v>
      </c>
      <c r="J29" s="0">
        <v>4.27</v>
      </c>
      <c r="K29" s="0">
        <v>4.27</v>
      </c>
    </row>
    <row r="30">
      <c r="A30" s="0" t="inlineStr">
        <is>
          <t xml:space="preserve">riskFreeRate</t>
        </is>
      </c>
      <c r="B30" s="0">
        <v>4.89</v>
      </c>
      <c r="C30" s="0">
        <v>4.89</v>
      </c>
      <c r="D30" s="0">
        <v>4.89</v>
      </c>
      <c r="E30" s="0">
        <v>4.89</v>
      </c>
      <c r="F30" s="0">
        <v>4.89</v>
      </c>
      <c r="G30" s="0">
        <v>4.89</v>
      </c>
      <c r="H30" s="0">
        <v>4.89</v>
      </c>
      <c r="I30" s="0">
        <v>4.89</v>
      </c>
      <c r="J30" s="0">
        <v>4.89</v>
      </c>
      <c r="K30" s="0">
        <v>4.89</v>
      </c>
    </row>
    <row r="31">
      <c r="A31" s="0" t="inlineStr">
        <is>
          <t xml:space="preserve">marketRiskPremium</t>
        </is>
      </c>
      <c r="B31" s="0">
        <v>4.72</v>
      </c>
      <c r="C31" s="0">
        <v>4.72</v>
      </c>
      <c r="D31" s="0">
        <v>4.72</v>
      </c>
      <c r="E31" s="0">
        <v>4.72</v>
      </c>
      <c r="F31" s="0">
        <v>4.72</v>
      </c>
      <c r="G31" s="0">
        <v>4.72</v>
      </c>
      <c r="H31" s="0">
        <v>4.72</v>
      </c>
      <c r="I31" s="0">
        <v>4.72</v>
      </c>
      <c r="J31" s="0">
        <v>4.72</v>
      </c>
      <c r="K31" s="0">
        <v>4.72</v>
      </c>
    </row>
    <row r="32">
      <c r="A32" s="0" t="inlineStr">
        <is>
          <t xml:space="preserve">costOfEquity</t>
        </is>
      </c>
      <c r="B32" s="0">
        <v>9.29</v>
      </c>
      <c r="C32" s="0">
        <v>9.29</v>
      </c>
      <c r="D32" s="0">
        <v>9.29</v>
      </c>
      <c r="E32" s="0">
        <v>9.29</v>
      </c>
      <c r="F32" s="0">
        <v>9.29</v>
      </c>
      <c r="G32" s="0">
        <v>9.29</v>
      </c>
      <c r="H32" s="0">
        <v>9.29</v>
      </c>
      <c r="I32" s="0">
        <v>9.29</v>
      </c>
      <c r="J32" s="0">
        <v>9.29</v>
      </c>
      <c r="K32" s="0">
        <v>9.29</v>
      </c>
    </row>
    <row r="33">
      <c r="A33" s="0" t="inlineStr">
        <is>
          <t xml:space="preserve">totalDebt</t>
        </is>
      </c>
      <c r="B33" s="0">
        <v>1886000000</v>
      </c>
      <c r="C33" s="0">
        <v>1886000000</v>
      </c>
      <c r="D33" s="0">
        <v>1886000000</v>
      </c>
      <c r="E33" s="0">
        <v>1886000000</v>
      </c>
      <c r="F33" s="0">
        <v>1886000000</v>
      </c>
      <c r="G33" s="0">
        <v>1886000000</v>
      </c>
      <c r="H33" s="0">
        <v>1886000000</v>
      </c>
      <c r="I33" s="0">
        <v>1886000000</v>
      </c>
      <c r="J33" s="0">
        <v>1886000000</v>
      </c>
      <c r="K33" s="0">
        <v>1886000000</v>
      </c>
    </row>
    <row r="34">
      <c r="A34" s="0" t="inlineStr">
        <is>
          <t xml:space="preserve">totalEquity</t>
        </is>
      </c>
      <c r="B34" s="0">
        <v>474829474400</v>
      </c>
      <c r="C34" s="0">
        <v>474829474400</v>
      </c>
      <c r="D34" s="0">
        <v>474829474400</v>
      </c>
      <c r="E34" s="0">
        <v>474829474400</v>
      </c>
      <c r="F34" s="0">
        <v>474829474400</v>
      </c>
      <c r="G34" s="0">
        <v>474829474400</v>
      </c>
      <c r="H34" s="0">
        <v>474829474400</v>
      </c>
      <c r="I34" s="0">
        <v>474829474400</v>
      </c>
      <c r="J34" s="0">
        <v>474829474400</v>
      </c>
      <c r="K34" s="0">
        <v>474829474400</v>
      </c>
    </row>
    <row r="35">
      <c r="A35" s="0" t="inlineStr">
        <is>
          <t xml:space="preserve">totalCapital</t>
        </is>
      </c>
      <c r="B35" s="0">
        <v>476715474400</v>
      </c>
      <c r="C35" s="0">
        <v>476715474400</v>
      </c>
      <c r="D35" s="0">
        <v>476715474400</v>
      </c>
      <c r="E35" s="0">
        <v>476715474400</v>
      </c>
      <c r="F35" s="0">
        <v>476715474400</v>
      </c>
      <c r="G35" s="0">
        <v>476715474400</v>
      </c>
      <c r="H35" s="0">
        <v>476715474400</v>
      </c>
      <c r="I35" s="0">
        <v>476715474400</v>
      </c>
      <c r="J35" s="0">
        <v>476715474400</v>
      </c>
      <c r="K35" s="0">
        <v>476715474400</v>
      </c>
    </row>
    <row r="36">
      <c r="A36" s="0" t="inlineStr">
        <is>
          <t xml:space="preserve">debtWeighting</t>
        </is>
      </c>
      <c r="B36" s="0">
        <v>0.39562</v>
      </c>
      <c r="C36" s="0">
        <v>0.39562</v>
      </c>
      <c r="D36" s="0">
        <v>0.39562</v>
      </c>
      <c r="E36" s="0">
        <v>0.39562</v>
      </c>
      <c r="F36" s="0">
        <v>0.39562</v>
      </c>
      <c r="G36" s="0">
        <v>0.39562</v>
      </c>
      <c r="H36" s="0">
        <v>0.39562</v>
      </c>
      <c r="I36" s="0">
        <v>0.39562</v>
      </c>
      <c r="J36" s="0">
        <v>0.39562</v>
      </c>
      <c r="K36" s="0">
        <v>0.39562</v>
      </c>
    </row>
    <row r="37">
      <c r="A37" s="0" t="inlineStr">
        <is>
          <t xml:space="preserve">equityWeighting</t>
        </is>
      </c>
      <c r="B37" s="0">
        <v>99.6</v>
      </c>
      <c r="C37" s="0">
        <v>99.6</v>
      </c>
      <c r="D37" s="0">
        <v>99.6</v>
      </c>
      <c r="E37" s="0">
        <v>99.6</v>
      </c>
      <c r="F37" s="0">
        <v>99.6</v>
      </c>
      <c r="G37" s="0">
        <v>99.6</v>
      </c>
      <c r="H37" s="0">
        <v>99.6</v>
      </c>
      <c r="I37" s="0">
        <v>99.6</v>
      </c>
      <c r="J37" s="0">
        <v>99.6</v>
      </c>
      <c r="K37" s="0">
        <v>99.6</v>
      </c>
    </row>
    <row r="38">
      <c r="A38" s="0" t="inlineStr">
        <is>
          <t xml:space="preserve">wacc</t>
        </is>
      </c>
      <c r="B38" s="0">
        <v>9.27</v>
      </c>
      <c r="C38" s="0">
        <v>9.27</v>
      </c>
      <c r="D38" s="0">
        <v>9.27</v>
      </c>
      <c r="E38" s="0">
        <v>9.27</v>
      </c>
      <c r="F38" s="0">
        <v>9.27</v>
      </c>
      <c r="G38" s="0">
        <v>9.27</v>
      </c>
      <c r="H38" s="0">
        <v>9.27</v>
      </c>
      <c r="I38" s="0">
        <v>9.27</v>
      </c>
      <c r="J38" s="0">
        <v>9.27</v>
      </c>
      <c r="K38" s="0">
        <v>9.27</v>
      </c>
    </row>
    <row r="39">
      <c r="A39" s="0" t="inlineStr">
        <is>
          <t xml:space="preserve">taxRateCash</t>
        </is>
      </c>
      <c r="B39" s="0">
        <v>15538037</v>
      </c>
      <c r="C39" s="0">
        <v>13560340</v>
      </c>
      <c r="D39" s="0">
        <v>11026103</v>
      </c>
      <c r="E39" s="0">
        <v>12138962</v>
      </c>
      <c r="F39" s="0">
        <v>16088478</v>
      </c>
      <c r="G39" s="0">
        <v>13670384</v>
      </c>
      <c r="H39" s="0">
        <v>13670384</v>
      </c>
      <c r="I39" s="0">
        <v>13670384</v>
      </c>
      <c r="J39" s="0">
        <v>13670384</v>
      </c>
      <c r="K39" s="0">
        <v>13670384</v>
      </c>
    </row>
    <row r="40">
      <c r="A40" s="0" t="inlineStr">
        <is>
          <t xml:space="preserve">ebiat</t>
        </is>
      </c>
      <c r="B40" s="0">
        <v>12659159086</v>
      </c>
      <c r="C40" s="0">
        <v>12116247191</v>
      </c>
      <c r="D40" s="0">
        <v>17284959045</v>
      </c>
      <c r="E40" s="0">
        <v>18225893758</v>
      </c>
      <c r="F40" s="0">
        <v>17834555061</v>
      </c>
      <c r="G40" s="0">
        <v>24973969925</v>
      </c>
      <c r="H40" s="0">
        <v>28632611677</v>
      </c>
      <c r="I40" s="0">
        <v>32827237877</v>
      </c>
      <c r="J40" s="0">
        <v>37636369283</v>
      </c>
      <c r="K40" s="0">
        <v>43150029805</v>
      </c>
    </row>
    <row r="41">
      <c r="A41" s="0" t="inlineStr">
        <is>
          <t xml:space="preserve">ufcf</t>
        </is>
      </c>
      <c r="B41" s="0">
        <v>14439159086</v>
      </c>
      <c r="C41" s="0">
        <v>7956247191</v>
      </c>
      <c r="D41" s="0">
        <v>11634959045</v>
      </c>
      <c r="E41" s="0">
        <v>28977893758</v>
      </c>
      <c r="F41" s="0">
        <v>-6437444938</v>
      </c>
      <c r="G41" s="0">
        <v>51868229677</v>
      </c>
      <c r="H41" s="0">
        <v>29469313162</v>
      </c>
      <c r="I41" s="0">
        <v>33786514628</v>
      </c>
      <c r="J41" s="0">
        <v>38736178355</v>
      </c>
      <c r="K41" s="0">
        <v>44410958931</v>
      </c>
    </row>
    <row r="42">
      <c r="A42" s="0" t="inlineStr">
        <is>
          <t xml:space="preserve">sumPvUfcf</t>
        </is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153709363021</v>
      </c>
    </row>
    <row r="43">
      <c r="A43" s="0" t="inlineStr">
        <is>
          <t xml:space="preserve">longTermGrowthRate</t>
        </is>
      </c>
      <c r="B43" s="0">
        <v>2</v>
      </c>
      <c r="C43" s="0">
        <v>2</v>
      </c>
      <c r="D43" s="0">
        <v>2</v>
      </c>
      <c r="E43" s="0">
        <v>2</v>
      </c>
      <c r="F43" s="0">
        <v>2</v>
      </c>
      <c r="G43" s="0">
        <v>2</v>
      </c>
      <c r="H43" s="0">
        <v>2</v>
      </c>
      <c r="I43" s="0">
        <v>2</v>
      </c>
      <c r="J43" s="0">
        <v>2</v>
      </c>
      <c r="K43" s="0">
        <v>2</v>
      </c>
    </row>
    <row r="44">
      <c r="A44" s="0" t="inlineStr">
        <is>
          <t xml:space="preserve">terminalValue</t>
        </is>
      </c>
      <c r="B44" s="0">
        <v>622722480306</v>
      </c>
      <c r="C44" s="0">
        <v>622722480306</v>
      </c>
      <c r="D44" s="0">
        <v>622722480306</v>
      </c>
      <c r="E44" s="0">
        <v>622722480306</v>
      </c>
      <c r="F44" s="0">
        <v>622722480306</v>
      </c>
      <c r="G44" s="0">
        <v>622722480306</v>
      </c>
      <c r="H44" s="0">
        <v>622722480306</v>
      </c>
      <c r="I44" s="0">
        <v>622722480306</v>
      </c>
      <c r="J44" s="0">
        <v>622722480306</v>
      </c>
      <c r="K44" s="0">
        <v>622722480306</v>
      </c>
    </row>
    <row r="45">
      <c r="A45" s="0" t="inlineStr">
        <is>
          <t xml:space="preserve">presentTerminalValue</t>
        </is>
      </c>
      <c r="B45" s="0">
        <v>399678080552</v>
      </c>
      <c r="C45" s="0">
        <v>399670797214</v>
      </c>
      <c r="D45" s="0">
        <v>399661464518</v>
      </c>
      <c r="E45" s="0">
        <v>399665562752</v>
      </c>
      <c r="F45" s="0">
        <v>399680107709</v>
      </c>
      <c r="G45" s="0">
        <v>399671202473</v>
      </c>
      <c r="H45" s="0">
        <v>399671202473</v>
      </c>
      <c r="I45" s="0">
        <v>399671202473</v>
      </c>
      <c r="J45" s="0">
        <v>399671202473</v>
      </c>
      <c r="K45" s="0">
        <v>399671202473</v>
      </c>
    </row>
    <row r="46">
      <c r="A46" s="0" t="inlineStr">
        <is>
          <t xml:space="preserve">enterpriseValue</t>
        </is>
      </c>
      <c r="B46" s="0">
        <v>553387443573</v>
      </c>
      <c r="C46" s="0">
        <v>553380160235</v>
      </c>
      <c r="D46" s="0">
        <v>553370827539</v>
      </c>
      <c r="E46" s="0">
        <v>553374925773</v>
      </c>
      <c r="F46" s="0">
        <v>553389470730</v>
      </c>
      <c r="G46" s="0">
        <v>553380565494</v>
      </c>
      <c r="H46" s="0">
        <v>553380565494</v>
      </c>
      <c r="I46" s="0">
        <v>553380565494</v>
      </c>
      <c r="J46" s="0">
        <v>553380565494</v>
      </c>
      <c r="K46" s="0">
        <v>553380565494</v>
      </c>
    </row>
    <row r="47">
      <c r="A47" s="0" t="inlineStr">
        <is>
          <t xml:space="preserve">netDebt</t>
        </is>
      </c>
      <c r="B47" s="0">
        <v>-180838000000</v>
      </c>
      <c r="C47" s="0">
        <v>-180838000000</v>
      </c>
      <c r="D47" s="0">
        <v>-180838000000</v>
      </c>
      <c r="E47" s="0">
        <v>-180838000000</v>
      </c>
      <c r="F47" s="0">
        <v>-180838000000</v>
      </c>
      <c r="G47" s="0">
        <v>-180838000000</v>
      </c>
      <c r="H47" s="0">
        <v>-180838000000</v>
      </c>
      <c r="I47" s="0">
        <v>-180838000000</v>
      </c>
      <c r="J47" s="0">
        <v>-180838000000</v>
      </c>
      <c r="K47" s="0">
        <v>-180838000000</v>
      </c>
    </row>
    <row r="48">
      <c r="A48" s="0" t="inlineStr">
        <is>
          <t xml:space="preserve">equityValue</t>
        </is>
      </c>
      <c r="B48" s="0">
        <v>734225443573</v>
      </c>
      <c r="C48" s="0">
        <v>734218160235</v>
      </c>
      <c r="D48" s="0">
        <v>734208827539</v>
      </c>
      <c r="E48" s="0">
        <v>734212925773</v>
      </c>
      <c r="F48" s="0">
        <v>734227470730</v>
      </c>
      <c r="G48" s="0">
        <v>734218565494</v>
      </c>
      <c r="H48" s="0">
        <v>734218565494</v>
      </c>
      <c r="I48" s="0">
        <v>734218565494</v>
      </c>
      <c r="J48" s="0">
        <v>734218565494</v>
      </c>
      <c r="K48" s="0">
        <v>734218565494</v>
      </c>
    </row>
    <row r="49">
      <c r="A49" s="0" t="inlineStr">
        <is>
          <t xml:space="preserve">equityValuePerShare</t>
        </is>
      </c>
      <c r="B49" s="0">
        <v>579.24</v>
      </c>
      <c r="C49" s="0">
        <v>579.24</v>
      </c>
      <c r="D49" s="0">
        <v>579.23</v>
      </c>
      <c r="E49" s="0">
        <v>579.23</v>
      </c>
      <c r="F49" s="0">
        <v>579.24</v>
      </c>
      <c r="G49" s="0">
        <v>579.24</v>
      </c>
      <c r="H49" s="0">
        <v>579.24</v>
      </c>
      <c r="I49" s="0">
        <v>579.24</v>
      </c>
      <c r="J49" s="0">
        <v>579.24</v>
      </c>
      <c r="K49" s="0">
        <v>579.24</v>
      </c>
    </row>
    <row r="50">
      <c r="A50" s="0" t="inlineStr">
        <is>
          <t xml:space="preserve">freeCashFlowT1</t>
        </is>
      </c>
      <c r="B50" s="0">
        <v>45299178110</v>
      </c>
      <c r="C50" s="0">
        <v>45299178110</v>
      </c>
      <c r="D50" s="0">
        <v>45299178110</v>
      </c>
      <c r="E50" s="0">
        <v>45299178110</v>
      </c>
      <c r="F50" s="0">
        <v>45299178110</v>
      </c>
      <c r="G50" s="0">
        <v>45299178110</v>
      </c>
      <c r="H50" s="0">
        <v>45299178110</v>
      </c>
      <c r="I50" s="0">
        <v>45299178110</v>
      </c>
      <c r="J50" s="0">
        <v>45299178110</v>
      </c>
      <c r="K50" s="0">
        <v>45299178110</v>
      </c>
    </row>
    <row r="51">
      <c r="A51" s="0" t="inlineStr">
        <is>
          <t xml:space="preserve">Checks below are candidate identities, not a reproduced FMP engine. Residuals do not alter raw vendor outputs.</t>
        </is>
      </c>
    </row>
    <row r="52">
      <c r="A52" s="0" t="inlineStr">
        <is>
          <t xml:space="preserve">EV residual</t>
        </is>
      </c>
      <c r="B52" s="0">
        <f>B46-(B42+B45)</f>
        <v>153709363021</v>
      </c>
      <c r="C52" s="0">
        <f>C46-(C42+C45)</f>
        <v>153709363021</v>
      </c>
      <c r="D52" s="0">
        <f>D46-(D42+D45)</f>
        <v>153709363021</v>
      </c>
      <c r="E52" s="0">
        <f>E46-(E42+E45)</f>
        <v>153709363021</v>
      </c>
      <c r="F52" s="0">
        <f>F46-(F42+F45)</f>
        <v>153709363021</v>
      </c>
      <c r="G52" s="0">
        <f>G46-(G42+G45)</f>
        <v>153709363021</v>
      </c>
      <c r="H52" s="0">
        <f>H46-(H42+H45)</f>
        <v>153709363021</v>
      </c>
      <c r="I52" s="0">
        <f>I46-(I42+I45)</f>
        <v>153709363021</v>
      </c>
      <c r="J52" s="0">
        <f>J46-(J42+J45)</f>
        <v>153709363021</v>
      </c>
      <c r="K52" s="0">
        <f>K46-(K42+K45)</f>
        <v>0</v>
      </c>
    </row>
    <row r="53">
      <c r="A53" s="0" t="inlineStr">
        <is>
          <t xml:space="preserve">Equity residual</t>
        </is>
      </c>
      <c r="B53" s="0">
        <f>B48-(B46-B47)</f>
        <v>0</v>
      </c>
      <c r="C53" s="0">
        <f>C48-(C46-C47)</f>
        <v>0</v>
      </c>
      <c r="D53" s="0">
        <f>D48-(D46-D47)</f>
        <v>0</v>
      </c>
      <c r="E53" s="0">
        <f>E48-(E46-E47)</f>
        <v>0</v>
      </c>
      <c r="F53" s="0">
        <f>F48-(F46-F47)</f>
        <v>0</v>
      </c>
      <c r="G53" s="0">
        <f>G48-(G46-G47)</f>
        <v>0</v>
      </c>
      <c r="H53" s="0">
        <f>H48-(H46-H47)</f>
        <v>0</v>
      </c>
      <c r="I53" s="0">
        <f>I48-(I46-I47)</f>
        <v>0</v>
      </c>
      <c r="J53" s="0">
        <f>J48-(J46-J47)</f>
        <v>0</v>
      </c>
      <c r="K53" s="0">
        <f>K48-(K46-K47)</f>
        <v>0</v>
      </c>
    </row>
    <row r="54">
      <c r="A54" s="0" t="inlineStr">
        <is>
          <t xml:space="preserve">EBIT identity residual</t>
        </is>
      </c>
      <c r="B54" s="0">
        <f>B10-(B8-B12)</f>
        <v>0</v>
      </c>
      <c r="C54" s="0">
        <f>C10-(C8-C12)</f>
        <v>0</v>
      </c>
      <c r="D54" s="0">
        <f>D10-(D8-D12)</f>
        <v>0</v>
      </c>
      <c r="E54" s="0">
        <f>E10-(E8-E12)</f>
        <v>0</v>
      </c>
      <c r="F54" s="0">
        <f>F10-(F8-F12)</f>
        <v>0</v>
      </c>
      <c r="G54" s="0">
        <f>G10-(G8-G12)</f>
        <v>1165166947</v>
      </c>
      <c r="H54" s="0">
        <f>H10-(H8-H12)</f>
        <v>1335861811</v>
      </c>
      <c r="I54" s="0">
        <f>I10-(I8-I12)</f>
        <v>1531563169</v>
      </c>
      <c r="J54" s="0">
        <f>J10-(J8-J12)</f>
        <v>1755934423</v>
      </c>
      <c r="K54" s="0">
        <f>K10-(K8-K12)</f>
        <v>2013175663</v>
      </c>
    </row>
    <row r="55">
      <c r="A55" s="0" t="inlineStr">
        <is>
          <t xml:space="preserve">Original diluted-price residual</t>
        </is>
      </c>
      <c r="B55" s="0">
        <f>B49-B48/B26</f>
        <v>-0.0013192335850497489673105</v>
      </c>
      <c r="C55" s="0">
        <f>C49-C48/C26</f>
        <v>0.0044266995591544095603851</v>
      </c>
      <c r="D55" s="0">
        <f>D49-D48/D26</f>
        <v>0.0017894015607890410267253</v>
      </c>
      <c r="E55" s="0">
        <f>E49-E48/E26</f>
        <v>-0.0014437558971381326702241</v>
      </c>
      <c r="F55" s="0">
        <f>F49-F48/F26</f>
        <v>-0.0029184877449974912509349</v>
      </c>
      <c r="G55" s="0">
        <f>G49-G48/G26</f>
        <v>0.0041069847360764426884954</v>
      </c>
      <c r="H55" s="0">
        <f>H49-H48/H26</f>
        <v>0.0041069847360764426884954</v>
      </c>
      <c r="I55" s="0">
        <f>I49-I48/I26</f>
        <v>0.0041069847360764426884954</v>
      </c>
      <c r="J55" s="0">
        <f>J49-J48/J26</f>
        <v>0.0041069847360764426884954</v>
      </c>
      <c r="K55" s="0">
        <f>K49-K48/K26</f>
        <v>0.0041069847360764426884954</v>
      </c>
    </row>
    <row r="56">
      <c r="A56" s="0" t="inlineStr">
        <is>
          <t xml:space="preserve">Site issued-share rebase</t>
        </is>
      </c>
      <c r="B56" s="0">
        <f>B48/1264002000</f>
        <v>580.8736406849039795823107875</v>
      </c>
      <c r="C56" s="0">
        <f>C48/1264002000</f>
        <v>580.8678785595275956841840440</v>
      </c>
      <c r="D56" s="0">
        <f>D48/1264002000</f>
        <v>580.8604951091849538212755992</v>
      </c>
      <c r="E56" s="0">
        <f>E48/1264002000</f>
        <v>580.8637373777889591946848185</v>
      </c>
      <c r="F56" s="0">
        <f>F48/1264002000</f>
        <v>580.8752444458157502915343488</v>
      </c>
      <c r="G56" s="0">
        <f>G48/1264002000</f>
        <v>580.8681991753177605731636501</v>
      </c>
      <c r="H56" s="0">
        <f>H48/1264002000</f>
        <v>580.8681991753177605731636501</v>
      </c>
      <c r="I56" s="0">
        <f>I48/1264002000</f>
        <v>580.8681991753177605731636501</v>
      </c>
      <c r="J56" s="0">
        <f>J48/1264002000</f>
        <v>580.8681991753177605731636501</v>
      </c>
      <c r="K56" s="0">
        <f>K48/1264002000</f>
        <v>580.8681991753177605731636501</v>
      </c>
    </row>
    <row r="57">
      <c r="A57" s="0" t="inlineStr">
        <is>
          <t xml:space="preserve">Website selected native row</t>
        </is>
      </c>
      <c r="B57" s="0" t="inlineStr">
        <is>
          <t xml:space="preserve">2030</t>
        </is>
      </c>
    </row>
    <row r="58">
      <c r="A58" s="0" t="inlineStr">
        <is>
          <t xml:space="preserve">Available row coverage</t>
        </is>
      </c>
      <c r="B58" s="0" t="inlineStr">
        <is>
          <t xml:space="preserve">availableApiRows</t>
        </is>
      </c>
    </row>
    <row r="59">
      <c r="A59" s="0" t="inlineStr">
        <is>
          <t xml:space="preserve">Site issued shares</t>
        </is>
      </c>
      <c r="B59" s="0">
        <v>1264002000</v>
      </c>
    </row>
    <row r="60">
      <c r="A60" s="0" t="inlineStr">
        <is>
          <t xml:space="preserve">Native scalar API overrides (not ten-year arrays)</t>
        </is>
      </c>
      <c r="B60" s="0" t="inlineStr">
        <is>
          <t xml:space="preserve">{}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0388.HK: site-calculated ten-year advanced scenario</t>
        </is>
      </c>
    </row>
    <row r="2">
      <c r="A2" s="0" t="inlineStr">
        <is>
          <t xml:space="preserve">Amounts: currency units, NOT millions. Numeric assumption cells editable; formula cells recalculate.</t>
        </is>
      </c>
    </row>
    <row r="3">
      <c r="A3" s="0" t="inlineStr">
        <is>
          <t xml:space="preserve">Currency</t>
        </is>
      </c>
      <c r="B3" s="0" t="inlineStr">
        <is>
          <t xml:space="preserve">HKD</t>
        </is>
      </c>
    </row>
    <row r="4">
      <c r="A4" s="0" t="inlineStr">
        <is>
          <t xml:space="preserve">Source captured</t>
        </is>
      </c>
      <c r="B4" s="0" t="inlineStr">
        <is>
          <t xml:space="preserve">2026-10-18T06:55:59.573Z</t>
        </is>
      </c>
    </row>
    <row r="5">
      <c r="A5" s="0" t="inlineStr">
        <is>
          <t xml:space="preserve">Actual baseline FY</t>
        </is>
      </c>
      <c r="B5" s="0">
        <v>2025</v>
      </c>
    </row>
    <row r="6">
      <c r="A6" s="0" t="inlineStr">
        <is>
          <t xml:space="preserve">Base revenue (FMP model basis)</t>
        </is>
      </c>
      <c r="B6" s="0">
        <v>29161000000</v>
      </c>
    </row>
    <row r="7">
      <c r="A7" s="0" t="inlineStr">
        <is>
          <t xml:space="preserve">Opening NWC (FMP model basis)</t>
        </is>
      </c>
      <c r="B7" s="0">
        <v>21699000000</v>
      </c>
    </row>
    <row r="8">
      <c r="A8" s="0" t="inlineStr">
        <is>
          <t xml:space="preserve">Snapshot net debt (subtracted once)</t>
        </is>
      </c>
      <c r="B8" s="0">
        <v>-180838000000</v>
      </c>
    </row>
    <row r="9">
      <c r="A9" s="0" t="inlineStr">
        <is>
          <t xml:space="preserve">Issued common shares (individual shares)</t>
        </is>
      </c>
      <c r="B9" s="0">
        <v>1264002000</v>
      </c>
    </row>
    <row r="10">
      <c r="A10" s="0" t="inlineStr">
        <is>
          <t xml:space="preserve">Terminal growth</t>
        </is>
      </c>
      <c r="B10" s="1">
        <v>0.02</v>
      </c>
    </row>
    <row r="11">
      <c r="A11" s="0" t="inlineStr">
        <is>
          <t xml:space="preserve">Negative CapEx inputs. EBIT is linked to EBITDA less DA. Ke override takes precedence over CAPM.</t>
        </is>
      </c>
    </row>
    <row r="12">
      <c r="A12" s="0" t="inlineStr">
        <is>
          <t xml:space="preserve">Full precision retained. Percent display 2dp. Year-end discounting; no stub-year adjustment.</t>
        </is>
      </c>
    </row>
    <row r="13">
      <c r="A13" s="0" t="inlineStr">
        <is>
          <t xml:space="preserve">Projected fiscal year</t>
        </is>
      </c>
      <c r="B13" s="0">
        <v>2026</v>
      </c>
      <c r="C13" s="0">
        <v>2027</v>
      </c>
      <c r="D13" s="0">
        <v>2028</v>
      </c>
      <c r="E13" s="0">
        <v>2029</v>
      </c>
      <c r="F13" s="0">
        <v>2030</v>
      </c>
      <c r="G13" s="0">
        <v>2031</v>
      </c>
      <c r="H13" s="0">
        <v>2032</v>
      </c>
      <c r="I13" s="0">
        <v>2033</v>
      </c>
      <c r="J13" s="0">
        <v>2034</v>
      </c>
      <c r="K13" s="0">
        <v>2035</v>
      </c>
    </row>
    <row r="14">
      <c r="A14" s="0" t="inlineStr">
        <is>
          <t xml:space="preserve">Year source (not analyst consensus)</t>
        </is>
      </c>
      <c r="B14" s="0" t="inlineStr">
        <is>
          <t xml:space="preserve">FMP model projection</t>
        </is>
      </c>
      <c r="C14" s="0" t="inlineStr">
        <is>
          <t xml:space="preserve">FMP model projection</t>
        </is>
      </c>
      <c r="D14" s="0" t="inlineStr">
        <is>
          <t xml:space="preserve">FMP model projection</t>
        </is>
      </c>
      <c r="E14" s="0" t="inlineStr">
        <is>
          <t xml:space="preserve">FMP model projection</t>
        </is>
      </c>
      <c r="F14" s="0" t="inlineStr">
        <is>
          <t xml:space="preserve">FMP model projection</t>
        </is>
      </c>
      <c r="G14" s="0" t="inlineStr">
        <is>
          <t xml:space="preserve">Standard extension</t>
        </is>
      </c>
      <c r="H14" s="0" t="inlineStr">
        <is>
          <t xml:space="preserve">Standard extension</t>
        </is>
      </c>
      <c r="I14" s="0" t="inlineStr">
        <is>
          <t xml:space="preserve">Standard extension</t>
        </is>
      </c>
      <c r="J14" s="0" t="inlineStr">
        <is>
          <t xml:space="preserve">Standard extension</t>
        </is>
      </c>
      <c r="K14" s="0" t="inlineStr">
        <is>
          <t xml:space="preserve">Standard extension</t>
        </is>
      </c>
    </row>
    <row r="15">
      <c r="A15" s="0" t="inlineStr">
        <is>
          <t xml:space="preserve">growth</t>
        </is>
      </c>
      <c r="B15" s="1">
        <v>0.14649820445115047</v>
      </c>
      <c r="C15" s="1">
        <v>0.14649820445521788</v>
      </c>
      <c r="D15" s="1">
        <v>0.14649820445157658</v>
      </c>
      <c r="E15" s="1">
        <v>0.14649820445060069</v>
      </c>
      <c r="F15" s="1">
        <v>0.1464982044409604</v>
      </c>
      <c r="G15" s="1">
        <v>0.12119856355276832</v>
      </c>
      <c r="H15" s="1">
        <v>0.09589892266457625</v>
      </c>
      <c r="I15" s="1">
        <v>0.07059928177638415</v>
      </c>
      <c r="J15" s="1">
        <v>0.04529964088819208</v>
      </c>
      <c r="K15" s="1">
        <v>0.02</v>
      </c>
    </row>
    <row r="16">
      <c r="A16" s="0" t="inlineStr">
        <is>
          <t xml:space="preserve">capex</t>
        </is>
      </c>
      <c r="B16" s="1">
        <v>-0.0744829323767741</v>
      </c>
      <c r="C16" s="1">
        <v>-0.074482932391694625</v>
      </c>
      <c r="D16" s="1">
        <v>-0.07448293237356292</v>
      </c>
      <c r="E16" s="1">
        <v>-0.07448293237976442</v>
      </c>
      <c r="F16" s="1">
        <v>-0.07448293237919633</v>
      </c>
      <c r="G16" s="1">
        <v>-0.07448293237919633</v>
      </c>
      <c r="H16" s="1">
        <v>-0.07448293237919633</v>
      </c>
      <c r="I16" s="1">
        <v>-0.07448293237919633</v>
      </c>
      <c r="J16" s="1">
        <v>-0.07448293237919633</v>
      </c>
      <c r="K16" s="1">
        <v>-0.07448293237919633</v>
      </c>
    </row>
    <row r="17">
      <c r="A17" s="0" t="inlineStr">
        <is>
          <t xml:space="preserve">tax</t>
        </is>
      </c>
      <c r="B17" s="1">
        <v>0.13670383559121092</v>
      </c>
      <c r="C17" s="1">
        <v>0.13670383557601784</v>
      </c>
      <c r="D17" s="1">
        <v>0.13670383557296727</v>
      </c>
      <c r="E17" s="1">
        <v>0.13670383556244426</v>
      </c>
      <c r="F17" s="1">
        <v>0.13670383556918708</v>
      </c>
      <c r="G17" s="1">
        <v>0.13670383556918708</v>
      </c>
      <c r="H17" s="1">
        <v>0.13670383556918708</v>
      </c>
      <c r="I17" s="1">
        <v>0.13670383556918708</v>
      </c>
      <c r="J17" s="1">
        <v>0.13670383556918708</v>
      </c>
      <c r="K17" s="1">
        <v>0.13670383556918708</v>
      </c>
    </row>
    <row r="18">
      <c r="A18" s="0" t="inlineStr">
        <is>
          <t xml:space="preserve">beta</t>
        </is>
      </c>
      <c r="B18" s="0">
        <v>0.933</v>
      </c>
      <c r="C18" s="0">
        <v>0.933</v>
      </c>
      <c r="D18" s="0">
        <v>0.933</v>
      </c>
      <c r="E18" s="0">
        <v>0.933</v>
      </c>
      <c r="F18" s="0">
        <v>0.933</v>
      </c>
      <c r="G18" s="0">
        <v>0.933</v>
      </c>
      <c r="H18" s="0">
        <v>0.933</v>
      </c>
      <c r="I18" s="0">
        <v>0.933</v>
      </c>
      <c r="J18" s="0">
        <v>0.933</v>
      </c>
      <c r="K18" s="0">
        <v>0.933</v>
      </c>
    </row>
    <row r="19">
      <c r="A19" s="0" t="inlineStr">
        <is>
          <t xml:space="preserve">rf</t>
        </is>
      </c>
      <c r="B19" s="1">
        <v>0.0489</v>
      </c>
      <c r="C19" s="1">
        <v>0.0489</v>
      </c>
      <c r="D19" s="1">
        <v>0.0489</v>
      </c>
      <c r="E19" s="1">
        <v>0.0489</v>
      </c>
      <c r="F19" s="1">
        <v>0.0489</v>
      </c>
      <c r="G19" s="1">
        <v>0.0489</v>
      </c>
      <c r="H19" s="1">
        <v>0.0489</v>
      </c>
      <c r="I19" s="1">
        <v>0.0489</v>
      </c>
      <c r="J19" s="1">
        <v>0.0489</v>
      </c>
      <c r="K19" s="1">
        <v>0.0489</v>
      </c>
    </row>
    <row r="20">
      <c r="A20" s="0" t="inlineStr">
        <is>
          <t xml:space="preserve">erp</t>
        </is>
      </c>
      <c r="B20" s="1">
        <v>0.0472</v>
      </c>
      <c r="C20" s="1">
        <v>0.0472</v>
      </c>
      <c r="D20" s="1">
        <v>0.0472</v>
      </c>
      <c r="E20" s="1">
        <v>0.0472</v>
      </c>
      <c r="F20" s="1">
        <v>0.0472</v>
      </c>
      <c r="G20" s="1">
        <v>0.0472</v>
      </c>
      <c r="H20" s="1">
        <v>0.0472</v>
      </c>
      <c r="I20" s="1">
        <v>0.0472</v>
      </c>
      <c r="J20" s="1">
        <v>0.0472</v>
      </c>
      <c r="K20" s="1">
        <v>0.0472</v>
      </c>
    </row>
    <row r="21">
      <c r="A21" s="0" t="inlineStr">
        <is>
          <t xml:space="preserve">kd</t>
        </is>
      </c>
      <c r="B21" s="1">
        <v>0.0509</v>
      </c>
      <c r="C21" s="1">
        <v>0.0509</v>
      </c>
      <c r="D21" s="1">
        <v>0.0509</v>
      </c>
      <c r="E21" s="1">
        <v>0.0509</v>
      </c>
      <c r="F21" s="1">
        <v>0.0509</v>
      </c>
      <c r="G21" s="1">
        <v>0.0509</v>
      </c>
      <c r="H21" s="1">
        <v>0.0509</v>
      </c>
      <c r="I21" s="1">
        <v>0.0509</v>
      </c>
      <c r="J21" s="1">
        <v>0.0509</v>
      </c>
      <c r="K21" s="1">
        <v>0.0509</v>
      </c>
    </row>
    <row r="22">
      <c r="A22" s="0" t="inlineStr">
        <is>
          <t xml:space="preserve">ke</t>
        </is>
      </c>
      <c r="B22" s="1">
        <f>IF(ISNUMBER(B32),B32,IF(AND(B19=0.0489,B18=0.933,B20=0.0472),0.0929,B19+B18*B20))</f>
        <v>0.0929</v>
      </c>
      <c r="C22" s="1">
        <f>IF(ISNUMBER(C32),C32,IF(AND(C19=0.0489,C18=0.933,C20=0.0472),0.0929,C19+C18*C20))</f>
        <v>0.0929</v>
      </c>
      <c r="D22" s="1">
        <f>IF(ISNUMBER(D32),D32,IF(AND(D19=0.0489,D18=0.933,D20=0.0472),0.0929,D19+D18*D20))</f>
        <v>0.0929</v>
      </c>
      <c r="E22" s="1">
        <f>IF(ISNUMBER(E32),E32,IF(AND(E19=0.0489,E18=0.933,E20=0.0472),0.0929,E19+E18*E20))</f>
        <v>0.0929</v>
      </c>
      <c r="F22" s="1">
        <f>IF(ISNUMBER(F32),F32,IF(AND(F19=0.0489,F18=0.933,F20=0.0472),0.0929,F19+F18*F20))</f>
        <v>0.0929</v>
      </c>
      <c r="G22" s="1">
        <f>IF(ISNUMBER(G32),G32,IF(AND(G19=0.0489,G18=0.933,G20=0.0472),0.0929,G19+G18*G20))</f>
        <v>0.0929</v>
      </c>
      <c r="H22" s="1">
        <f>IF(ISNUMBER(H32),H32,IF(AND(H19=0.0489,H18=0.933,H20=0.0472),0.0929,H19+H18*H20))</f>
        <v>0.0929</v>
      </c>
      <c r="I22" s="1">
        <f>IF(ISNUMBER(I32),I32,IF(AND(I19=0.0489,I18=0.933,I20=0.0472),0.0929,I19+I18*I20))</f>
        <v>0.0929</v>
      </c>
      <c r="J22" s="1">
        <f>IF(ISNUMBER(J32),J32,IF(AND(J19=0.0489,J18=0.933,J20=0.0472),0.0929,J19+J18*J20))</f>
        <v>0.0929</v>
      </c>
      <c r="K22" s="1">
        <f>IF(ISNUMBER(K32),K32,IF(AND(K19=0.0489,K18=0.933,K20=0.0472),0.0929,K19+K18*K20))</f>
        <v>0.0929</v>
      </c>
    </row>
    <row r="23">
      <c r="A23" s="0" t="inlineStr">
        <is>
          <t xml:space="preserve">debtWeight</t>
        </is>
      </c>
      <c r="B23" s="1">
        <v>0.0039562</v>
      </c>
      <c r="C23" s="1">
        <v>0.0039562</v>
      </c>
      <c r="D23" s="1">
        <v>0.0039562</v>
      </c>
      <c r="E23" s="1">
        <v>0.0039562</v>
      </c>
      <c r="F23" s="1">
        <v>0.0039562</v>
      </c>
      <c r="G23" s="1">
        <v>0.0039562</v>
      </c>
      <c r="H23" s="1">
        <v>0.0039562</v>
      </c>
      <c r="I23" s="1">
        <v>0.0039562</v>
      </c>
      <c r="J23" s="1">
        <v>0.0039562</v>
      </c>
      <c r="K23" s="1">
        <v>0.0039562</v>
      </c>
    </row>
    <row r="24">
      <c r="A24" s="0" t="inlineStr">
        <is>
          <t xml:space="preserve">ebitda</t>
        </is>
      </c>
      <c r="B24" s="1">
        <v>0.9071642243715306</v>
      </c>
      <c r="C24" s="1">
        <v>0.9071642243878371</v>
      </c>
      <c r="D24" s="1">
        <v>0.9071642243763269</v>
      </c>
      <c r="E24" s="1">
        <v>0.9071642243742161</v>
      </c>
      <c r="F24" s="1">
        <v>0.9071642243874402</v>
      </c>
      <c r="G24" s="1">
        <v>0.9071642243874402</v>
      </c>
      <c r="H24" s="1">
        <v>0.9071642243874402</v>
      </c>
      <c r="I24" s="1">
        <v>0.9071642243874402</v>
      </c>
      <c r="J24" s="1">
        <v>0.9071642243874402</v>
      </c>
      <c r="K24" s="1">
        <v>0.9071642243874402</v>
      </c>
    </row>
    <row r="25">
      <c r="A25" s="0" t="inlineStr">
        <is>
          <t xml:space="preserve">da</t>
        </is>
      </c>
      <c r="B25" s="1">
        <v>0.0767443262928454</v>
      </c>
      <c r="C25" s="1">
        <v>0.07674432628592011</v>
      </c>
      <c r="D25" s="1">
        <v>0.076744326292124025</v>
      </c>
      <c r="E25" s="1">
        <v>0.07674432629660092</v>
      </c>
      <c r="F25" s="1">
        <v>0.07674432629429445</v>
      </c>
      <c r="G25" s="1">
        <v>0.07674432629429445</v>
      </c>
      <c r="H25" s="1">
        <v>0.07674432629429445</v>
      </c>
      <c r="I25" s="1">
        <v>0.07674432629429445</v>
      </c>
      <c r="J25" s="1">
        <v>0.07674432629429445</v>
      </c>
      <c r="K25" s="1">
        <v>0.07674432629429445</v>
      </c>
    </row>
    <row r="26">
      <c r="A26" s="0" t="inlineStr">
        <is>
          <t xml:space="preserve">cash</t>
        </is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  <row r="27">
      <c r="A27" s="0" t="inlineStr">
        <is>
          <t xml:space="preserve">receivables</t>
        </is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</row>
    <row r="28">
      <c r="A28" s="0" t="inlineStr">
        <is>
          <t xml:space="preserve">inventories</t>
        </is>
      </c>
      <c r="B28" s="1">
        <v>-0.16017070734819043</v>
      </c>
      <c r="C28" s="1">
        <v>-0.16017070736446318</v>
      </c>
      <c r="D28" s="1">
        <v>-0.1601707073670863</v>
      </c>
      <c r="E28" s="1">
        <v>-0.16017070735744724</v>
      </c>
      <c r="F28" s="1">
        <v>-0.1601707073630827</v>
      </c>
      <c r="G28" s="1">
        <v>-0.1601707073630827</v>
      </c>
      <c r="H28" s="1">
        <v>-0.1601707073630827</v>
      </c>
      <c r="I28" s="1">
        <v>-0.1601707073630827</v>
      </c>
      <c r="J28" s="1">
        <v>-0.1601707073630827</v>
      </c>
      <c r="K28" s="1">
        <v>-0.1601707073630827</v>
      </c>
    </row>
    <row r="29">
      <c r="A29" s="0" t="inlineStr">
        <is>
          <t xml:space="preserve">payables</t>
        </is>
      </c>
      <c r="B29" s="1">
        <v>0.9929609070473674</v>
      </c>
      <c r="C29" s="1">
        <v>0.9929609070439017</v>
      </c>
      <c r="D29" s="1">
        <v>0.9929609070464127</v>
      </c>
      <c r="E29" s="1">
        <v>0.9929609070506044</v>
      </c>
      <c r="F29" s="1">
        <v>0.9929609070383033</v>
      </c>
      <c r="G29" s="1">
        <v>0.9929609070383033</v>
      </c>
      <c r="H29" s="1">
        <v>0.9929609070383033</v>
      </c>
      <c r="I29" s="1">
        <v>0.9929609070383033</v>
      </c>
      <c r="J29" s="1">
        <v>0.9929609070383033</v>
      </c>
      <c r="K29" s="1">
        <v>0.9929609070383033</v>
      </c>
    </row>
    <row r="30">
      <c r="A30" s="0" t="inlineStr">
        <is>
          <t xml:space="preserve">ebit</t>
        </is>
      </c>
      <c r="B30" s="1">
        <f>B24-B25</f>
        <v>0.8304198980786852</v>
      </c>
      <c r="C30" s="1">
        <f>C24-C25</f>
        <v>0.830419898101917</v>
      </c>
      <c r="D30" s="1">
        <f>D24-D25</f>
        <v>0.8304198980842028</v>
      </c>
      <c r="E30" s="1">
        <f>E24-E25</f>
        <v>0.8304198980776152</v>
      </c>
      <c r="F30" s="1">
        <f>F24-F25</f>
        <v>0.8304198980931457</v>
      </c>
      <c r="G30" s="1">
        <f>G24-G25</f>
        <v>0.8304198980931457</v>
      </c>
      <c r="H30" s="1">
        <f>H24-H25</f>
        <v>0.8304198980931457</v>
      </c>
      <c r="I30" s="1">
        <f>I24-I25</f>
        <v>0.8304198980931457</v>
      </c>
      <c r="J30" s="1">
        <f>J24-J25</f>
        <v>0.8304198980931457</v>
      </c>
      <c r="K30" s="1">
        <f>K24-K25</f>
        <v>0.8304198980931457</v>
      </c>
    </row>
    <row r="31">
      <c r="A31" s="0" t="inlineStr">
        <is>
          <t xml:space="preserve">Per-field input provenance</t>
        </is>
      </c>
      <c r="B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C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D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E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F31" s="0" t="inlineStr">
        <is>
          <t xml:space="preserve">{"growth": "fmp", "capex": "fmp", "tax": "derived-fmp", "beta": "fmp", "rf": "fmp", "erp": "fmp", "kd": "fmp", "ke": "fmp", "debtWeight": "fmp", "ebitda": "fmp", "da": "fmp", "cash": "fmp", "receivables": "fmp", "inventories": "fmp", "payables": "fmp", "ebit": "derived"}</t>
        </is>
      </c>
      <c r="G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H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I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J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  <c r="K31" s="0" t="inlineStr">
        <is>
          <t xml:space="preserve">{"growth": "extension", "capex": "extension", "tax": "extension", "beta": "extension", "rf": "extension", "erp": "extension", "kd": "extension", "ke": "extension", "debtWeight": "extension", "ebitda": "extension", "da": "extension", "cash": "extension", "receivables": "extension", "inventories": "extension", "payables": "extension", "ebit": "derived"}</t>
        </is>
      </c>
    </row>
    <row r="32">
      <c r="A32" s="0" t="inlineStr">
        <is>
          <t xml:space="preserve">ke override (blank = initial Ke / changed CAPM)</t>
        </is>
      </c>
    </row>
    <row r="33">
      <c r="A33" s="0" t="inlineStr">
        <is>
          <t xml:space="preserve">Calculated outputs</t>
        </is>
      </c>
    </row>
    <row r="34">
      <c r="A34" s="0" t="inlineStr">
        <is>
          <t xml:space="preserve">revenue</t>
        </is>
      </c>
      <c r="B34" s="0">
        <f>$B$6*(1+B15)</f>
        <v>33433034139.99999885567000000</v>
      </c>
      <c r="C34" s="0">
        <f>B34*(1+C15)</f>
        <v>38330913610.9999981712061328957605233796000000</v>
      </c>
      <c r="D34" s="0">
        <f>C34*(1+D15)</f>
        <v>43946323629.999995424021945432934279236904443885170</v>
      </c>
      <c r="E34" s="0">
        <f>D34*(1+E15)</f>
        <v>50384381133.999999024290681533506284782367970382768</v>
      </c>
      <c r="F34" s="0">
        <f>E34*(1+F15)</f>
        <v>57765602501.999999075952111921851749970984953651116</v>
      </c>
      <c r="G34" s="0">
        <f>F34*(1+G15)</f>
        <v>64766710548.002598638777171872810951673997584848774</v>
      </c>
      <c r="H34" s="0">
        <f>G34*(1+H15)</f>
        <v>70977768314.084494722261582047235880518166227888811</v>
      </c>
      <c r="I34" s="0">
        <f>H34*(1+I15)</f>
        <v>75988747779.149456544328967896815786175549159961841</v>
      </c>
      <c r="J34" s="0">
        <f>I34*(1+J15)</f>
        <v>79431010765.088330378540850623090256636144552210511</v>
      </c>
      <c r="K34" s="0">
        <f>J34*(1+K15)</f>
        <v>81019630980.390096986111667635552061768867443254721</v>
      </c>
    </row>
    <row r="35">
      <c r="A35" s="0" t="inlineStr">
        <is>
          <t xml:space="preserve">ebitda</t>
        </is>
      </c>
      <c r="B35" s="0">
        <f>B34*B24</f>
        <v>30329252484.0000015557594471249263885020000</v>
      </c>
      <c r="C35" s="0">
        <f>C34*C24</f>
        <v>34772433516.000001580224398083149358165995055112426</v>
      </c>
      <c r="D35" s="0">
        <f>D34*D24</f>
        <v>39866532589.9999927069110643655745337236910472082</v>
      </c>
      <c r="E35" s="0">
        <f>E34*E24</f>
        <v>45706908031.999995739750470298648222943530589951486</v>
      </c>
      <c r="F35" s="0">
        <f>F34*F24</f>
        <v>52402887990.000004196232194714734492838895214373699</v>
      </c>
      <c r="G35" s="0">
        <f>G34*G24</f>
        <v>58754042740.404619432189985848040728899879769715976</v>
      </c>
      <c r="H35" s="0">
        <f>H34*H24</f>
        <v>64388492141.397889676315083054985040695916463020895</v>
      </c>
      <c r="I35" s="0">
        <f>I34*I24</f>
        <v>68934273441.244935763361131036261928924627869029647</v>
      </c>
      <c r="J35" s="0">
        <f>J34*J24</f>
        <v>72056971273.021768216332612747323532016869136707035</v>
      </c>
      <c r="K35" s="0">
        <f>K34*K24</f>
        <v>73498110698.482203580659265002270002657206519441175</v>
      </c>
    </row>
    <row r="36">
      <c r="A36" s="0" t="inlineStr">
        <is>
          <t xml:space="preserve">da</t>
        </is>
      </c>
      <c r="B36" s="0">
        <f>B34*B25</f>
        <v>2565795680.9999998081211210933082234180000</v>
      </c>
      <c r="C36" s="0">
        <f>C34*C25</f>
        <v>2941680141.0000000817080639632626259744051115279528</v>
      </c>
      <c r="D36" s="0">
        <f>D34*D25</f>
        <v>3372630999.9999999715678578247061918505311550835306</v>
      </c>
      <c r="E36" s="0">
        <f>E34*E25</f>
        <v>3866715385.9999994070948889729733047326518614632458</v>
      </c>
      <c r="F36" s="0">
        <f>F34*F25</f>
        <v>4433182246.9999997983292812657769122278235635633447</v>
      </c>
      <c r="G36" s="0">
        <f>G34*G25</f>
        <v>4970477567.3040335378150948845347106805038853517227</v>
      </c>
      <c r="H36" s="0">
        <f>H34*H25</f>
        <v>5447141011.1369341427314459377246928581043553926486</v>
      </c>
      <c r="I36" s="0">
        <f>I34*I25</f>
        <v>5831705254.2578886296143265450289592824636965049885</v>
      </c>
      <c r="J36" s="0">
        <f>J34*J25</f>
        <v>6095879408.0415538714221918347067132193624452750605</v>
      </c>
      <c r="K36" s="0">
        <f>K34*K25</f>
        <v>6217796996.2023849488506356714008474837496941805617</v>
      </c>
    </row>
    <row r="37">
      <c r="A37" s="0" t="inlineStr">
        <is>
          <t xml:space="preserve">ebit</t>
        </is>
      </c>
      <c r="B37" s="0">
        <f>B35-B36</f>
        <v>27763456803.0000017476383260316181650840000</v>
      </c>
      <c r="C37" s="0">
        <f>C35-C36</f>
        <v>31830753375.000001498516334119886732191589943584473</v>
      </c>
      <c r="D37" s="0">
        <f>D35-D36</f>
        <v>36493901589.999992735343206540868341873159892124669</v>
      </c>
      <c r="E37" s="0">
        <f>E35-E36</f>
        <v>41840192645.999996332655581325674918210878728488240</v>
      </c>
      <c r="F37" s="0">
        <f>F35-F36</f>
        <v>47969705743.000004397902913448957580611071650810354</v>
      </c>
      <c r="G37" s="0">
        <f>G35-G36</f>
        <v>53783565173.100585894374890963506018219375884364253</v>
      </c>
      <c r="H37" s="0">
        <f>H35-H36</f>
        <v>58941351130.260955533583637117260347837812107628246</v>
      </c>
      <c r="I37" s="0">
        <f>I35-I36</f>
        <v>63102568186.987047133746804491232969642164172524658</v>
      </c>
      <c r="J37" s="0">
        <f>J35-J36</f>
        <v>65961091864.980214344910420912616818797506691431974</v>
      </c>
      <c r="K37" s="0">
        <f>K35-K36</f>
        <v>67280313702.279818631808629330869155173456825260613</v>
      </c>
    </row>
    <row r="38">
      <c r="A38" s="0" t="inlineStr">
        <is>
          <t xml:space="preserve">nopat</t>
        </is>
      </c>
      <c r="B38" s="0">
        <f>B37*(1-B17)</f>
        <v>23968085768.759003164847574876892768100941178391976</v>
      </c>
      <c r="C38" s="0">
        <f>C37*(1-C17)</f>
        <v>27479367299.363226364023193572384724150926187027384</v>
      </c>
      <c r="D38" s="0">
        <f>D37*(1-D17)</f>
        <v>31505045267.624584912778695027945125744240374030549</v>
      </c>
      <c r="E38" s="0">
        <f>E37*(1-E17)</f>
        <v>36120477830.620223232958717726977590654551219210296</v>
      </c>
      <c r="F38" s="0">
        <f>F37*(1-F17)</f>
        <v>41412062976.806642651375316279582485159711618332917</v>
      </c>
      <c r="G38" s="0">
        <f>G37*(1-G17)</f>
        <v>46431145523.352386549000121409579467870370952592430</v>
      </c>
      <c r="H38" s="0">
        <f>H37*(1-H17)</f>
        <v>50883842357.124042820290349711912201248396199520443</v>
      </c>
      <c r="I38" s="0">
        <f>I37*(1-I17)</f>
        <v>54476205081.559754168385807042406485705945972850584</v>
      </c>
      <c r="J38" s="0">
        <f>J37*(1-J17)</f>
        <v>56943957608.705915572599311181644224441564136024820</v>
      </c>
      <c r="K38" s="0">
        <f>K37*(1-K17)</f>
        <v>58082836760.880033884051297405277108930395418745316</v>
      </c>
    </row>
    <row r="39">
      <c r="A39" s="0" t="inlineStr">
        <is>
          <t xml:space="preserve">cfo</t>
        </is>
      </c>
    </row>
    <row r="40">
      <c r="A40" s="0" t="inlineStr">
        <is>
          <t xml:space="preserve">capex</t>
        </is>
      </c>
      <c r="B40" s="0">
        <f>B34*B16</f>
        <v>-2490190420.9999997431347199932860941470000</v>
      </c>
      <c r="C40" s="0">
        <f>C34*C16</f>
        <v>-2854998847.0000001485541109131291661734722392821762</v>
      </c>
      <c r="D40" s="0">
        <f>D34*D16</f>
        <v>-3273251050.9999997976555356187732305608789591042303</v>
      </c>
      <c r="E40" s="0">
        <f>E34*E16</f>
        <v>-3752776453.0000000937387610903541209149944731437285</v>
      </c>
      <c r="F40" s="0">
        <f>F34*F16</f>
        <v>-4302551465.0000002641714212971361053036853046688943</v>
      </c>
      <c r="G40" s="0">
        <f>G34*G16</f>
        <v>-4824014522.1698592362102068900421900243387879390427</v>
      </c>
      <c r="H40" s="0">
        <f>H34*H16</f>
        <v>-5286632317.7642193189436960104226520889004324533459</v>
      </c>
      <c r="I40" s="0">
        <f>I34*I16</f>
        <v>-5659864762.4141942687773339445927401574003329479279</v>
      </c>
      <c r="J40" s="0">
        <f>J34*J16</f>
        <v>-5916254603.6272898558903794415519905262465419996501</v>
      </c>
      <c r="K40" s="0">
        <f>K34*K16</f>
        <v>-6034579695.6998356530081870303830303367714728396431</v>
      </c>
    </row>
    <row r="41">
      <c r="A41" s="0" t="inlineStr">
        <is>
          <t xml:space="preserve">nwc</t>
        </is>
      </c>
      <c r="B41" s="0">
        <f>B34*(B27+B28-B29)</f>
        <v>-5119654492.00000021950121589873130839610000</v>
      </c>
      <c r="C41" s="0">
        <f>C34*(C27+C28-C29)</f>
        <v>-5869674682.9999968110002243902111146178441813130475</v>
      </c>
      <c r="D41" s="0">
        <f>D34*(D27+D28-D29)</f>
        <v>-6729571484.9999989939544629834028053500467573860893</v>
      </c>
      <c r="E41" s="0">
        <f>E34*(E27+E28-E29)</f>
        <v>-7715441623.9999994787018166302460249043326005023698</v>
      </c>
      <c r="F41" s="0">
        <f>F34*(F27+F28-F29)</f>
        <v>-8845739968.0000022123668271144019147376457656361644</v>
      </c>
      <c r="G41" s="0">
        <f>G34*(G27+G28-G29)</f>
        <v>-9917830945.6829132857707223724631576560553486486139</v>
      </c>
      <c r="H41" s="0">
        <f>H34*(H27+H28-H29)</f>
        <v>-10868940248.54330012171151678767634199406977193457</v>
      </c>
      <c r="I41" s="0">
        <f>I34*(I27+I28-I29)</f>
        <v>-11636279623.76089134393764116549561390597203135116</v>
      </c>
      <c r="J41" s="0">
        <f>J34*(J27+J28-J29)</f>
        <v>-12163398911.991846570386935998167714534566731767458</v>
      </c>
      <c r="K41" s="0">
        <f>K34*(K27+K28-K29)</f>
        <v>-12406666890.231683501794674718131068825258066402807</v>
      </c>
    </row>
    <row r="42">
      <c r="A42" s="0" t="inlineStr">
        <is>
          <t xml:space="preserve">changeNwc</t>
        </is>
      </c>
      <c r="B42" s="0">
        <f>B41-$B$7</f>
        <v>-26818654492.00000021950121589873130839610000</v>
      </c>
      <c r="C42" s="0">
        <f>C41-B41</f>
        <v>-750020190.9999965914990084914798062217441813130475</v>
      </c>
      <c r="D42" s="0">
        <f>D41-C41</f>
        <v>-859896802.0000021829542385931916907322025760730418</v>
      </c>
      <c r="E42" s="0">
        <f>E41-D41</f>
        <v>-985870139.0000004847473536468432195542858431162805</v>
      </c>
      <c r="F42" s="0">
        <f>F41-E41</f>
        <v>-1130298344.0000027336650104841558898333131651337946</v>
      </c>
      <c r="G42" s="0">
        <f>G41-F41</f>
        <v>-1072090977.6829110734038952580612429184095830124495</v>
      </c>
      <c r="H42" s="0">
        <f>H41-G41</f>
        <v>-951109302.8603868359407944152131843380144232859561</v>
      </c>
      <c r="I42" s="0">
        <f>I41-H41</f>
        <v>-767339375.21759122222612437781927191190225941659</v>
      </c>
      <c r="J42" s="0">
        <f>J41-I41</f>
        <v>-527119288.230955226449294832672100628594700416298</v>
      </c>
      <c r="K42" s="0">
        <f>K41-J41</f>
        <v>-243267978.239836931407738719963354290691334635349</v>
      </c>
    </row>
    <row r="43">
      <c r="A43" s="0" t="inlineStr">
        <is>
          <t xml:space="preserve">projectedCash</t>
        </is>
      </c>
      <c r="B43" s="0">
        <f>B34*B26</f>
        <v>33433034139.99999885567000000</v>
      </c>
      <c r="C43" s="0">
        <f>C34*C26</f>
        <v>38330913610.9999981712061328957605233796000000</v>
      </c>
      <c r="D43" s="0">
        <f>D34*D26</f>
        <v>43946323629.99999542402194543293427923690444388517</v>
      </c>
      <c r="E43" s="0">
        <f>E34*E26</f>
        <v>50384381133.999999024290681533506284782367970382768</v>
      </c>
      <c r="F43" s="0">
        <f>F34*F26</f>
        <v>57765602501.999999075952111921851749970984953651116</v>
      </c>
      <c r="G43" s="0">
        <f>G34*G26</f>
        <v>64766710548.002598638777171872810951673997584848774</v>
      </c>
      <c r="H43" s="0">
        <f>H34*H26</f>
        <v>70977768314.084494722261582047235880518166227888811</v>
      </c>
      <c r="I43" s="0">
        <f>I34*I26</f>
        <v>75988747779.149456544328967896815786175549159961841</v>
      </c>
      <c r="J43" s="0">
        <f>J34*J26</f>
        <v>79431010765.088330378540850623090256636144552210511</v>
      </c>
      <c r="K43" s="0">
        <f>K34*K26</f>
        <v>81019630980.390096986111667635552061768867443254721</v>
      </c>
    </row>
    <row r="44">
      <c r="A44" s="0" t="inlineStr">
        <is>
          <t xml:space="preserve">wacc</t>
        </is>
      </c>
      <c r="B44" s="1">
        <f>B22*(1-B23)+B21*(1-B17)*B23</f>
        <v>0.0927063114693387732141372664</v>
      </c>
      <c r="C44" s="1">
        <f>C22*(1-C23)+C21*(1-C17)*C23</f>
        <v>0.0927063114693418326534688528</v>
      </c>
      <c r="D44" s="1">
        <f>D22*(1-D23)+D21*(1-D17)*D23</f>
        <v>0.0927063114693424469485190834</v>
      </c>
      <c r="E44" s="1">
        <f>E22*(1-E23)+E21*(1-E17)*E23</f>
        <v>0.0927063114693445659731461292</v>
      </c>
      <c r="F44" s="1">
        <f>F22*(1-F23)+F21*(1-F17)*F23</f>
        <v>0.0927063114693432081675718936</v>
      </c>
      <c r="G44" s="1">
        <f>G22*(1-G23)+G21*(1-G17)*G23</f>
        <v>0.0927063114693432081675718936</v>
      </c>
      <c r="H44" s="1">
        <f>H22*(1-H23)+H21*(1-H17)*H23</f>
        <v>0.0927063114693432081675718936</v>
      </c>
      <c r="I44" s="1">
        <f>I22*(1-I23)+I21*(1-I17)*I23</f>
        <v>0.0927063114693432081675718936</v>
      </c>
      <c r="J44" s="1">
        <f>J22*(1-J23)+J21*(1-J17)*J23</f>
        <v>0.0927063114693432081675718936</v>
      </c>
      <c r="K44" s="1">
        <f>K22*(1-K23)+K21*(1-K17)*K23</f>
        <v>0.0927063114693432081675718936</v>
      </c>
    </row>
    <row r="45">
      <c r="A45" s="0" t="inlineStr">
        <is>
          <t xml:space="preserve">discount</t>
        </is>
      </c>
      <c r="B45" s="0">
        <f>(1+B44)*1</f>
        <v>1.0927063114693387732141372664</v>
      </c>
      <c r="C45" s="0">
        <f>(1+C44)*B45</f>
        <v>1.1940070831249309432651171568677122538184496930161</v>
      </c>
      <c r="D45" s="0">
        <f>(1+D44)*C45</f>
        <v>1.3046990756697118492126953800156305907544379242518</v>
      </c>
      <c r="E45" s="0">
        <f>(1+E44)*D45</f>
        <v>1.4256529145525141105819584698664989145136869804670</v>
      </c>
      <c r="F45" s="0">
        <f>(1+F44)*E45</f>
        <v>1.5578199376961964221989841183967536126846077704933</v>
      </c>
      <c r="G45" s="0">
        <f>(1+G44)*F45</f>
        <v>1.7022396780534128385381902390014831509473335654567</v>
      </c>
      <c r="H45" s="0">
        <f>(1+H44)*G45</f>
        <v>1.8600480398425070353268279918758839659839554286868</v>
      </c>
      <c r="I45" s="0">
        <f>(1+I44)*H45</f>
        <v>2.0324862327720877979290107332804750661866414015796</v>
      </c>
      <c r="J45" s="0">
        <f>(1+J44)*I45</f>
        <v>2.2209105345246089704887967449215196212489947816785</v>
      </c>
      <c r="K45" s="0">
        <f>(1+K44)*J45</f>
        <v>2.4268029582837928821872578709132677831548842157501</v>
      </c>
    </row>
    <row r="46">
      <c r="A46" s="0" t="inlineStr">
        <is>
          <t xml:space="preserve">cashFlow</t>
        </is>
      </c>
      <c r="B46" s="0">
        <f>B38+B36+B40-B42</f>
        <v>50862345520.759003449335191875646205768041178391976</v>
      </c>
      <c r="C46" s="0">
        <f>C38+C36+C40-C42</f>
        <v>28316068784.363222888676155113997990173603240586208</v>
      </c>
      <c r="D46" s="0">
        <f>D38+D36+D40-D42</f>
        <v>32464322018.624587269645255827069777766095146082892</v>
      </c>
      <c r="E46" s="0">
        <f>E38+E36+E40-E42</f>
        <v>37220286902.620223031062199256439994026494450646094</v>
      </c>
      <c r="F46" s="0">
        <f>F38+F36+F40-F42</f>
        <v>42672992102.806644919198186732379181917163042361163</v>
      </c>
      <c r="G46" s="0">
        <f>G38+G36+G40-G42</f>
        <v>47649699546.169471924008904662133231444945633017560</v>
      </c>
      <c r="H46" s="0">
        <f>H38+H36+H40-H42</f>
        <v>51995460353.357144480018894054427426355614545745702</v>
      </c>
      <c r="I46" s="0">
        <f>I38+I36+I40-I42</f>
        <v>55415384948.621039751448924020661976742911595824234</v>
      </c>
      <c r="J46" s="0">
        <f>J38+J36+J40-J42</f>
        <v>57650701701.351134814580418407471047763274739716528</v>
      </c>
      <c r="K46" s="0">
        <f>K38+K36+K40-K42</f>
        <v>58509322039.622420111301484766258280368064974721584</v>
      </c>
    </row>
    <row r="47">
      <c r="A47" s="0" t="inlineStr">
        <is>
          <t xml:space="preserve">pv</t>
        </is>
      </c>
      <c r="B47" s="0">
        <f>B46/B45</f>
        <v>46547132552.355716522055234931400580471859897095264</v>
      </c>
      <c r="C47" s="0">
        <f>C46/C45</f>
        <v>23715159804.793608250798205669222867153064752314643</v>
      </c>
      <c r="D47" s="0">
        <f>D46/D45</f>
        <v>24882612875.279616939789828833152188106543758597001</v>
      </c>
      <c r="E47" s="0">
        <f>E46/E45</f>
        <v>26107537481.731994818381090417345812791820897190524</v>
      </c>
      <c r="F47" s="0">
        <f>F46/F45</f>
        <v>27392762841.329524873656365991126939071626633083419</v>
      </c>
      <c r="G47" s="0">
        <f>G46/G45</f>
        <v>27992356282.435522406846212017689992087919297887656</v>
      </c>
      <c r="H47" s="0">
        <f>H46/H45</f>
        <v>27953826589.209854764564735693127558096229165782284</v>
      </c>
      <c r="I47" s="0">
        <f>I46/I45</f>
        <v>27264826720.641815264110745416751829215865701738695</v>
      </c>
      <c r="J47" s="0">
        <f>J46/J45</f>
        <v>25958137802.111601343059023979550288434677300329474</v>
      </c>
      <c r="K47" s="0">
        <f>K46/K45</f>
        <v>24109630260.628798298657961720588111491933868853023</v>
      </c>
    </row>
    <row r="48">
      <c r="A48" s="0" t="inlineStr">
        <is>
          <t xml:space="preserve">Valuation bridge</t>
        </is>
      </c>
    </row>
    <row r="49">
      <c r="A49" s="0" t="inlineStr">
        <is>
          <t xml:space="preserve">presentFlows</t>
        </is>
      </c>
      <c r="B49" s="0">
        <f>SUM(B47:K47)</f>
        <v>281923983210.51805348191940466995616692154127287197</v>
      </c>
    </row>
    <row r="50">
      <c r="A50" s="0" t="inlineStr">
        <is>
          <t xml:space="preserve">terminalValue</t>
        </is>
      </c>
      <c r="B50" s="0">
        <f>IF(K44&lt;=$B$10,NA(),K46*(1+$B$10)/(K44-$B$10))</f>
        <v>820829818957.03617701941904164629815210977002257448</v>
      </c>
    </row>
    <row r="51">
      <c r="A51" s="0" t="inlineStr">
        <is>
          <t xml:space="preserve">presentTerminalValue</t>
        </is>
      </c>
      <c r="B51" s="0">
        <f>B50/K45</f>
        <v>338235049596.90570701767005902658284377939373931091</v>
      </c>
    </row>
    <row r="52">
      <c r="A52" s="0" t="inlineStr">
        <is>
          <t xml:space="preserve">enterpriseValue</t>
        </is>
      </c>
      <c r="B52" s="0">
        <f>B49+B51</f>
        <v>620159032807.42376049958946369653901070093501218288</v>
      </c>
    </row>
    <row r="53">
      <c r="A53" s="0" t="inlineStr">
        <is>
          <t xml:space="preserve">netDebt</t>
        </is>
      </c>
      <c r="B53" s="0">
        <f>$B$8</f>
        <v>-180838000000</v>
      </c>
    </row>
    <row r="54">
      <c r="A54" s="0" t="inlineStr">
        <is>
          <t xml:space="preserve">equityValue</t>
        </is>
      </c>
      <c r="B54" s="0">
        <f>B52-$B$8</f>
        <v>800997032807.42376049958946369653901070093501218288</v>
      </c>
    </row>
    <row r="55">
      <c r="A55" s="0" t="inlineStr">
        <is>
          <t xml:space="preserve">targetPrice</t>
        </is>
      </c>
      <c r="B55" s="0">
        <f>B54/$B$9</f>
        <v>633.69918149451010401849796416187554347298106504806</v>
      </c>
    </row>
    <row r="56">
      <c r="A56" s="0" t="inlineStr">
        <is>
          <t xml:space="preserve">Interpretation</t>
        </is>
      </c>
      <c r="B56" s="0" t="inlineStr">
        <is>
          <t xml:space="preserve">Negative equity/terminal cash flow is retained for review, not a tradable negative share price.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0388.HK: ORIGINAL FMP API customLevered</t>
        </is>
      </c>
    </row>
    <row r="2">
      <c r="A2" s="0" t="inlineStr">
        <is>
          <t xml:space="preserve">Raw API units retained. WACC/rate fields are percentage points; amount ratio fields retain API units.</t>
        </is>
      </c>
    </row>
    <row r="3">
      <c r="A3" s="0" t="inlineStr">
        <is>
          <t xml:space="preserve">Source captured</t>
        </is>
      </c>
      <c r="B3" s="0" t="inlineStr">
        <is>
          <t xml:space="preserve">2026-10-18T06:55:59.573Z</t>
        </is>
      </c>
    </row>
    <row r="4">
      <c r="A4" s="0" t="inlineStr">
        <is>
          <t xml:space="preserve">Model year (NOT point-in-time history)</t>
        </is>
      </c>
      <c r="B4" s="0" t="inlineStr">
        <is>
          <t xml:space="preserve">2021</t>
        </is>
      </c>
      <c r="C4" s="0" t="inlineStr">
        <is>
          <t xml:space="preserve">2022</t>
        </is>
      </c>
      <c r="D4" s="0" t="inlineStr">
        <is>
          <t xml:space="preserve">2023</t>
        </is>
      </c>
      <c r="E4" s="0" t="inlineStr">
        <is>
          <t xml:space="preserve">2024</t>
        </is>
      </c>
      <c r="F4" s="0" t="inlineStr">
        <is>
          <t xml:space="preserve">2025</t>
        </is>
      </c>
      <c r="G4" s="0" t="inlineStr">
        <is>
          <t xml:space="preserve">2026</t>
        </is>
      </c>
      <c r="H4" s="0" t="inlineStr">
        <is>
          <t xml:space="preserve">2027</t>
        </is>
      </c>
      <c r="I4" s="0" t="inlineStr">
        <is>
          <t xml:space="preserve">2028</t>
        </is>
      </c>
      <c r="J4" s="0" t="inlineStr">
        <is>
          <t xml:space="preserve">2029</t>
        </is>
      </c>
      <c r="K4" s="0" t="inlineStr">
        <is>
          <t xml:space="preserve">2030</t>
        </is>
      </c>
    </row>
    <row r="5">
      <c r="A5" s="0" t="inlineStr">
        <is>
          <t xml:space="preserve">symbol</t>
        </is>
      </c>
      <c r="B5" s="0" t="inlineStr">
        <is>
          <t xml:space="preserve">0388.HK</t>
        </is>
      </c>
      <c r="C5" s="0" t="inlineStr">
        <is>
          <t xml:space="preserve">0388.HK</t>
        </is>
      </c>
      <c r="D5" s="0" t="inlineStr">
        <is>
          <t xml:space="preserve">0388.HK</t>
        </is>
      </c>
      <c r="E5" s="0" t="inlineStr">
        <is>
          <t xml:space="preserve">0388.HK</t>
        </is>
      </c>
      <c r="F5" s="0" t="inlineStr">
        <is>
          <t xml:space="preserve">0388.HK</t>
        </is>
      </c>
      <c r="G5" s="0" t="inlineStr">
        <is>
          <t xml:space="preserve">0388.HK</t>
        </is>
      </c>
      <c r="H5" s="0" t="inlineStr">
        <is>
          <t xml:space="preserve">0388.HK</t>
        </is>
      </c>
      <c r="I5" s="0" t="inlineStr">
        <is>
          <t xml:space="preserve">0388.HK</t>
        </is>
      </c>
      <c r="J5" s="0" t="inlineStr">
        <is>
          <t xml:space="preserve">0388.HK</t>
        </is>
      </c>
      <c r="K5" s="0" t="inlineStr">
        <is>
          <t xml:space="preserve">0388.HK</t>
        </is>
      </c>
    </row>
    <row r="6">
      <c r="A6" s="0" t="inlineStr">
        <is>
          <t xml:space="preserve">revenue</t>
        </is>
      </c>
      <c r="B6" s="0">
        <v>19471000000</v>
      </c>
      <c r="C6" s="0">
        <v>16934000000</v>
      </c>
      <c r="D6" s="0">
        <v>15445000000</v>
      </c>
      <c r="E6" s="0">
        <v>17346000000</v>
      </c>
      <c r="F6" s="0">
        <v>29161000000</v>
      </c>
      <c r="G6" s="0">
        <v>33433034140</v>
      </c>
      <c r="H6" s="0">
        <v>38330913611</v>
      </c>
      <c r="I6" s="0">
        <v>43946323630</v>
      </c>
      <c r="J6" s="0">
        <v>50384381134</v>
      </c>
      <c r="K6" s="0">
        <v>57765602502</v>
      </c>
    </row>
    <row r="7">
      <c r="A7" s="0" t="inlineStr">
        <is>
          <t xml:space="preserve">revenuePercentage</t>
        </is>
      </c>
      <c r="B7" s="0">
        <v>0</v>
      </c>
      <c r="C7" s="0">
        <v>-13.03</v>
      </c>
      <c r="D7" s="0">
        <v>-8.79</v>
      </c>
      <c r="E7" s="0">
        <v>12.31</v>
      </c>
      <c r="F7" s="0">
        <v>68.11</v>
      </c>
      <c r="G7" s="0">
        <v>14.65</v>
      </c>
      <c r="H7" s="0">
        <v>14.65</v>
      </c>
      <c r="I7" s="0">
        <v>14.65</v>
      </c>
      <c r="J7" s="0">
        <v>14.65</v>
      </c>
      <c r="K7" s="0">
        <v>14.65</v>
      </c>
    </row>
    <row r="8">
      <c r="A8" s="0" t="inlineStr">
        <is>
          <t xml:space="preserve">capitalExpenditure</t>
        </is>
      </c>
      <c r="B8" s="0">
        <v>-1070000000</v>
      </c>
      <c r="C8" s="0">
        <v>-1284000000</v>
      </c>
      <c r="D8" s="0">
        <v>-1386000000</v>
      </c>
      <c r="E8" s="0">
        <v>-1604000000</v>
      </c>
      <c r="F8" s="0">
        <v>-1733000000</v>
      </c>
      <c r="G8" s="0">
        <v>-2490190421</v>
      </c>
      <c r="H8" s="0">
        <v>-2854998847</v>
      </c>
      <c r="I8" s="0">
        <v>-3273251051</v>
      </c>
      <c r="J8" s="0">
        <v>-3752776453</v>
      </c>
      <c r="K8" s="0">
        <v>-4302551465</v>
      </c>
    </row>
    <row r="9">
      <c r="A9" s="0" t="inlineStr">
        <is>
          <t xml:space="preserve">capitalExpenditurePercentage</t>
        </is>
      </c>
      <c r="B9" s="0">
        <v>-5.5</v>
      </c>
      <c r="C9" s="0">
        <v>-7.58</v>
      </c>
      <c r="D9" s="0">
        <v>-8.97</v>
      </c>
      <c r="E9" s="0">
        <v>-9.25</v>
      </c>
      <c r="F9" s="0">
        <v>-5.94</v>
      </c>
      <c r="G9" s="0">
        <v>-7.45</v>
      </c>
      <c r="H9" s="0">
        <v>-7.45</v>
      </c>
      <c r="I9" s="0">
        <v>-7.45</v>
      </c>
      <c r="J9" s="0">
        <v>-7.45</v>
      </c>
      <c r="K9" s="0">
        <v>-7.45</v>
      </c>
    </row>
    <row r="10">
      <c r="A10" s="0" t="inlineStr">
        <is>
          <t xml:space="preserve">price</t>
        </is>
      </c>
      <c r="B10" s="0">
        <v>374.6</v>
      </c>
      <c r="C10" s="0">
        <v>374.6</v>
      </c>
      <c r="D10" s="0">
        <v>374.6</v>
      </c>
      <c r="E10" s="0">
        <v>374.6</v>
      </c>
      <c r="F10" s="0">
        <v>374.6</v>
      </c>
      <c r="G10" s="0">
        <v>374.6</v>
      </c>
      <c r="H10" s="0">
        <v>374.6</v>
      </c>
      <c r="I10" s="0">
        <v>374.6</v>
      </c>
      <c r="J10" s="0">
        <v>374.6</v>
      </c>
      <c r="K10" s="0">
        <v>374.6</v>
      </c>
    </row>
    <row r="11">
      <c r="A11" s="0" t="inlineStr">
        <is>
          <t xml:space="preserve">beta</t>
        </is>
      </c>
      <c r="B11" s="0">
        <v>0.933</v>
      </c>
      <c r="C11" s="0">
        <v>0.933</v>
      </c>
      <c r="D11" s="0">
        <v>0.933</v>
      </c>
      <c r="E11" s="0">
        <v>0.933</v>
      </c>
      <c r="F11" s="0">
        <v>0.933</v>
      </c>
      <c r="G11" s="0">
        <v>0.933</v>
      </c>
      <c r="H11" s="0">
        <v>0.933</v>
      </c>
      <c r="I11" s="0">
        <v>0.933</v>
      </c>
      <c r="J11" s="0">
        <v>0.933</v>
      </c>
      <c r="K11" s="0">
        <v>0.933</v>
      </c>
    </row>
    <row r="12">
      <c r="A12" s="0" t="inlineStr">
        <is>
          <t xml:space="preserve">dilutedSharesOutstanding</t>
        </is>
      </c>
      <c r="B12" s="0">
        <v>1267564000</v>
      </c>
      <c r="C12" s="0">
        <v>1267564000</v>
      </c>
      <c r="D12" s="0">
        <v>1267564000</v>
      </c>
      <c r="E12" s="0">
        <v>1267564000</v>
      </c>
      <c r="F12" s="0">
        <v>1267564000</v>
      </c>
      <c r="G12" s="0">
        <v>1267564000</v>
      </c>
      <c r="H12" s="0">
        <v>1267564000</v>
      </c>
      <c r="I12" s="0">
        <v>1267564000</v>
      </c>
      <c r="J12" s="0">
        <v>1267564000</v>
      </c>
      <c r="K12" s="0">
        <v>1267564000</v>
      </c>
    </row>
    <row r="13">
      <c r="A13" s="0" t="inlineStr">
        <is>
          <t xml:space="preserve">costofDebt</t>
        </is>
      </c>
      <c r="B13" s="0">
        <v>5.09</v>
      </c>
      <c r="C13" s="0">
        <v>5.09</v>
      </c>
      <c r="D13" s="0">
        <v>5.09</v>
      </c>
      <c r="E13" s="0">
        <v>5.09</v>
      </c>
      <c r="F13" s="0">
        <v>5.09</v>
      </c>
      <c r="G13" s="0">
        <v>5.09</v>
      </c>
      <c r="H13" s="0">
        <v>5.09</v>
      </c>
      <c r="I13" s="0">
        <v>5.09</v>
      </c>
      <c r="J13" s="0">
        <v>5.09</v>
      </c>
      <c r="K13" s="0">
        <v>5.09</v>
      </c>
    </row>
    <row r="14">
      <c r="A14" s="0" t="inlineStr">
        <is>
          <t xml:space="preserve">taxRate</t>
        </is>
      </c>
      <c r="B14" s="0">
        <v>16.09</v>
      </c>
      <c r="C14" s="0">
        <v>16.09</v>
      </c>
      <c r="D14" s="0">
        <v>16.09</v>
      </c>
      <c r="E14" s="0">
        <v>16.09</v>
      </c>
      <c r="F14" s="0">
        <v>16.09</v>
      </c>
      <c r="G14" s="0">
        <v>16.09</v>
      </c>
      <c r="H14" s="0">
        <v>16.09</v>
      </c>
      <c r="I14" s="0">
        <v>16.09</v>
      </c>
      <c r="J14" s="0">
        <v>16.09</v>
      </c>
      <c r="K14" s="0">
        <v>16.09</v>
      </c>
    </row>
    <row r="15">
      <c r="A15" s="0" t="inlineStr">
        <is>
          <t xml:space="preserve">afterTaxCostOfDebt</t>
        </is>
      </c>
      <c r="B15" s="0">
        <v>4.27</v>
      </c>
      <c r="C15" s="0">
        <v>4.27</v>
      </c>
      <c r="D15" s="0">
        <v>4.27</v>
      </c>
      <c r="E15" s="0">
        <v>4.27</v>
      </c>
      <c r="F15" s="0">
        <v>4.27</v>
      </c>
      <c r="G15" s="0">
        <v>4.27</v>
      </c>
      <c r="H15" s="0">
        <v>4.27</v>
      </c>
      <c r="I15" s="0">
        <v>4.27</v>
      </c>
      <c r="J15" s="0">
        <v>4.27</v>
      </c>
      <c r="K15" s="0">
        <v>4.27</v>
      </c>
    </row>
    <row r="16">
      <c r="A16" s="0" t="inlineStr">
        <is>
          <t xml:space="preserve">riskFreeRate</t>
        </is>
      </c>
      <c r="B16" s="0">
        <v>4.89</v>
      </c>
      <c r="C16" s="0">
        <v>4.89</v>
      </c>
      <c r="D16" s="0">
        <v>4.89</v>
      </c>
      <c r="E16" s="0">
        <v>4.89</v>
      </c>
      <c r="F16" s="0">
        <v>4.89</v>
      </c>
      <c r="G16" s="0">
        <v>4.89</v>
      </c>
      <c r="H16" s="0">
        <v>4.89</v>
      </c>
      <c r="I16" s="0">
        <v>4.89</v>
      </c>
      <c r="J16" s="0">
        <v>4.89</v>
      </c>
      <c r="K16" s="0">
        <v>4.89</v>
      </c>
    </row>
    <row r="17">
      <c r="A17" s="0" t="inlineStr">
        <is>
          <t xml:space="preserve">marketRiskPremium</t>
        </is>
      </c>
      <c r="B17" s="0">
        <v>4.72</v>
      </c>
      <c r="C17" s="0">
        <v>4.72</v>
      </c>
      <c r="D17" s="0">
        <v>4.72</v>
      </c>
      <c r="E17" s="0">
        <v>4.72</v>
      </c>
      <c r="F17" s="0">
        <v>4.72</v>
      </c>
      <c r="G17" s="0">
        <v>4.72</v>
      </c>
      <c r="H17" s="0">
        <v>4.72</v>
      </c>
      <c r="I17" s="0">
        <v>4.72</v>
      </c>
      <c r="J17" s="0">
        <v>4.72</v>
      </c>
      <c r="K17" s="0">
        <v>4.72</v>
      </c>
    </row>
    <row r="18">
      <c r="A18" s="0" t="inlineStr">
        <is>
          <t xml:space="preserve">costOfEquity</t>
        </is>
      </c>
      <c r="B18" s="0">
        <v>9.29</v>
      </c>
      <c r="C18" s="0">
        <v>9.29</v>
      </c>
      <c r="D18" s="0">
        <v>9.29</v>
      </c>
      <c r="E18" s="0">
        <v>9.29</v>
      </c>
      <c r="F18" s="0">
        <v>9.29</v>
      </c>
      <c r="G18" s="0">
        <v>9.29</v>
      </c>
      <c r="H18" s="0">
        <v>9.29</v>
      </c>
      <c r="I18" s="0">
        <v>9.29</v>
      </c>
      <c r="J18" s="0">
        <v>9.29</v>
      </c>
      <c r="K18" s="0">
        <v>9.29</v>
      </c>
    </row>
    <row r="19">
      <c r="A19" s="0" t="inlineStr">
        <is>
          <t xml:space="preserve">totalDebt</t>
        </is>
      </c>
      <c r="B19" s="0">
        <v>1886000000</v>
      </c>
      <c r="C19" s="0">
        <v>1886000000</v>
      </c>
      <c r="D19" s="0">
        <v>1886000000</v>
      </c>
      <c r="E19" s="0">
        <v>1886000000</v>
      </c>
      <c r="F19" s="0">
        <v>1886000000</v>
      </c>
      <c r="G19" s="0">
        <v>1886000000</v>
      </c>
      <c r="H19" s="0">
        <v>1886000000</v>
      </c>
      <c r="I19" s="0">
        <v>1886000000</v>
      </c>
      <c r="J19" s="0">
        <v>1886000000</v>
      </c>
      <c r="K19" s="0">
        <v>1886000000</v>
      </c>
    </row>
    <row r="20">
      <c r="A20" s="0" t="inlineStr">
        <is>
          <t xml:space="preserve">totalEquity</t>
        </is>
      </c>
      <c r="B20" s="0">
        <v>474829474400</v>
      </c>
      <c r="C20" s="0">
        <v>474829474400</v>
      </c>
      <c r="D20" s="0">
        <v>474829474400</v>
      </c>
      <c r="E20" s="0">
        <v>474829474400</v>
      </c>
      <c r="F20" s="0">
        <v>474829474400</v>
      </c>
      <c r="G20" s="0">
        <v>474829474400</v>
      </c>
      <c r="H20" s="0">
        <v>474829474400</v>
      </c>
      <c r="I20" s="0">
        <v>474829474400</v>
      </c>
      <c r="J20" s="0">
        <v>474829474400</v>
      </c>
      <c r="K20" s="0">
        <v>474829474400</v>
      </c>
    </row>
    <row r="21">
      <c r="A21" s="0" t="inlineStr">
        <is>
          <t xml:space="preserve">totalCapital</t>
        </is>
      </c>
      <c r="B21" s="0">
        <v>476715474400</v>
      </c>
      <c r="C21" s="0">
        <v>476715474400</v>
      </c>
      <c r="D21" s="0">
        <v>476715474400</v>
      </c>
      <c r="E21" s="0">
        <v>476715474400</v>
      </c>
      <c r="F21" s="0">
        <v>476715474400</v>
      </c>
      <c r="G21" s="0">
        <v>476715474400</v>
      </c>
      <c r="H21" s="0">
        <v>476715474400</v>
      </c>
      <c r="I21" s="0">
        <v>476715474400</v>
      </c>
      <c r="J21" s="0">
        <v>476715474400</v>
      </c>
      <c r="K21" s="0">
        <v>476715474400</v>
      </c>
    </row>
    <row r="22">
      <c r="A22" s="0" t="inlineStr">
        <is>
          <t xml:space="preserve">debtWeighting</t>
        </is>
      </c>
      <c r="B22" s="0">
        <v>0.39562</v>
      </c>
      <c r="C22" s="0">
        <v>0.39562</v>
      </c>
      <c r="D22" s="0">
        <v>0.39562</v>
      </c>
      <c r="E22" s="0">
        <v>0.39562</v>
      </c>
      <c r="F22" s="0">
        <v>0.39562</v>
      </c>
      <c r="G22" s="0">
        <v>0.39562</v>
      </c>
      <c r="H22" s="0">
        <v>0.39562</v>
      </c>
      <c r="I22" s="0">
        <v>0.39562</v>
      </c>
      <c r="J22" s="0">
        <v>0.39562</v>
      </c>
      <c r="K22" s="0">
        <v>0.39562</v>
      </c>
    </row>
    <row r="23">
      <c r="A23" s="0" t="inlineStr">
        <is>
          <t xml:space="preserve">equityWeighting</t>
        </is>
      </c>
      <c r="B23" s="0">
        <v>99.6</v>
      </c>
      <c r="C23" s="0">
        <v>99.6</v>
      </c>
      <c r="D23" s="0">
        <v>99.6</v>
      </c>
      <c r="E23" s="0">
        <v>99.6</v>
      </c>
      <c r="F23" s="0">
        <v>99.6</v>
      </c>
      <c r="G23" s="0">
        <v>99.6</v>
      </c>
      <c r="H23" s="0">
        <v>99.6</v>
      </c>
      <c r="I23" s="0">
        <v>99.6</v>
      </c>
      <c r="J23" s="0">
        <v>99.6</v>
      </c>
      <c r="K23" s="0">
        <v>99.6</v>
      </c>
    </row>
    <row r="24">
      <c r="A24" s="0" t="inlineStr">
        <is>
          <t xml:space="preserve">wacc</t>
        </is>
      </c>
      <c r="B24" s="0">
        <v>9.27</v>
      </c>
      <c r="C24" s="0">
        <v>9.27</v>
      </c>
      <c r="D24" s="0">
        <v>9.27</v>
      </c>
      <c r="E24" s="0">
        <v>9.27</v>
      </c>
      <c r="F24" s="0">
        <v>9.27</v>
      </c>
      <c r="G24" s="0">
        <v>9.27</v>
      </c>
      <c r="H24" s="0">
        <v>9.27</v>
      </c>
      <c r="I24" s="0">
        <v>9.27</v>
      </c>
      <c r="J24" s="0">
        <v>9.27</v>
      </c>
      <c r="K24" s="0">
        <v>9.27</v>
      </c>
    </row>
    <row r="25">
      <c r="A25" s="0" t="inlineStr">
        <is>
          <t xml:space="preserve">operatingCashFlow</t>
        </is>
      </c>
      <c r="B25" s="0">
        <v>12340000000</v>
      </c>
      <c r="C25" s="0">
        <v>14956000000</v>
      </c>
      <c r="D25" s="0">
        <v>11500000000</v>
      </c>
      <c r="E25" s="0">
        <v>12774000000</v>
      </c>
      <c r="F25" s="0">
        <v>22698000000</v>
      </c>
      <c r="G25" s="0">
        <v>25250806494</v>
      </c>
      <c r="H25" s="0">
        <v>28950004307</v>
      </c>
      <c r="I25" s="0">
        <v>33191127957</v>
      </c>
      <c r="J25" s="0">
        <v>38053568606</v>
      </c>
      <c r="K25" s="0">
        <v>43628348079</v>
      </c>
    </row>
    <row r="26">
      <c r="A26" s="0" t="inlineStr">
        <is>
          <t xml:space="preserve">pvLfcf</t>
        </is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20828868386</v>
      </c>
      <c r="H26" s="0">
        <v>21853485656</v>
      </c>
      <c r="I26" s="0">
        <v>22928506074</v>
      </c>
      <c r="J26" s="0">
        <v>24056409081</v>
      </c>
      <c r="K26" s="0">
        <v>25239796085</v>
      </c>
    </row>
    <row r="27">
      <c r="A27" s="0" t="inlineStr">
        <is>
          <t xml:space="preserve">sumPvLfcf</t>
        </is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114907065284</v>
      </c>
    </row>
    <row r="28">
      <c r="A28" s="0" t="inlineStr">
        <is>
          <t xml:space="preserve">longTermGrowthRate</t>
        </is>
      </c>
      <c r="B28" s="0">
        <v>2</v>
      </c>
      <c r="C28" s="0">
        <v>2</v>
      </c>
      <c r="D28" s="0">
        <v>2</v>
      </c>
      <c r="E28" s="0">
        <v>2</v>
      </c>
      <c r="F28" s="0">
        <v>2</v>
      </c>
      <c r="G28" s="0">
        <v>2</v>
      </c>
      <c r="H28" s="0">
        <v>2</v>
      </c>
      <c r="I28" s="0">
        <v>2</v>
      </c>
      <c r="J28" s="0">
        <v>2</v>
      </c>
      <c r="K28" s="0">
        <v>2</v>
      </c>
    </row>
    <row r="29">
      <c r="A29" s="0" t="inlineStr">
        <is>
          <t xml:space="preserve">freeCashFlow</t>
        </is>
      </c>
      <c r="B29" s="0">
        <v>11270000000</v>
      </c>
      <c r="C29" s="0">
        <v>13672000000</v>
      </c>
      <c r="D29" s="0">
        <v>10114000000</v>
      </c>
      <c r="E29" s="0">
        <v>11170000000</v>
      </c>
      <c r="F29" s="0">
        <v>20965000000</v>
      </c>
      <c r="G29" s="0">
        <v>22760616073</v>
      </c>
      <c r="H29" s="0">
        <v>26095005460</v>
      </c>
      <c r="I29" s="0">
        <v>29917876906</v>
      </c>
      <c r="J29" s="0">
        <v>34300792153</v>
      </c>
      <c r="K29" s="0">
        <v>39325796614</v>
      </c>
    </row>
    <row r="30">
      <c r="A30" s="0" t="inlineStr">
        <is>
          <t xml:space="preserve">terminalValue</t>
        </is>
      </c>
      <c r="B30" s="0">
        <v>551419248687</v>
      </c>
      <c r="C30" s="0">
        <v>551419248687</v>
      </c>
      <c r="D30" s="0">
        <v>551419248687</v>
      </c>
      <c r="E30" s="0">
        <v>551419248687</v>
      </c>
      <c r="F30" s="0">
        <v>551419248687</v>
      </c>
      <c r="G30" s="0">
        <v>551419248687</v>
      </c>
      <c r="H30" s="0">
        <v>551419248687</v>
      </c>
      <c r="I30" s="0">
        <v>551419248687</v>
      </c>
      <c r="J30" s="0">
        <v>551419248687</v>
      </c>
      <c r="K30" s="0">
        <v>551419248687</v>
      </c>
    </row>
    <row r="31">
      <c r="A31" s="0" t="inlineStr">
        <is>
          <t xml:space="preserve">presentTerminalValue</t>
        </is>
      </c>
      <c r="B31" s="0">
        <v>353913972700</v>
      </c>
      <c r="C31" s="0">
        <v>353907523322</v>
      </c>
      <c r="D31" s="0">
        <v>353899259242</v>
      </c>
      <c r="E31" s="0">
        <v>353902888218</v>
      </c>
      <c r="F31" s="0">
        <v>353915767743</v>
      </c>
      <c r="G31" s="0">
        <v>353907882178</v>
      </c>
      <c r="H31" s="0">
        <v>353907882178</v>
      </c>
      <c r="I31" s="0">
        <v>353907882178</v>
      </c>
      <c r="J31" s="0">
        <v>353907882178</v>
      </c>
      <c r="K31" s="0">
        <v>353907882178</v>
      </c>
    </row>
    <row r="32">
      <c r="A32" s="0" t="inlineStr">
        <is>
          <t xml:space="preserve">enterpriseValue</t>
        </is>
      </c>
      <c r="B32" s="0">
        <v>468821037984</v>
      </c>
      <c r="C32" s="0">
        <v>468814588606</v>
      </c>
      <c r="D32" s="0">
        <v>468806324527</v>
      </c>
      <c r="E32" s="0">
        <v>468809953502</v>
      </c>
      <c r="F32" s="0">
        <v>468822833027</v>
      </c>
      <c r="G32" s="0">
        <v>468814947462</v>
      </c>
      <c r="H32" s="0">
        <v>468814947462</v>
      </c>
      <c r="I32" s="0">
        <v>468814947462</v>
      </c>
      <c r="J32" s="0">
        <v>468814947462</v>
      </c>
      <c r="K32" s="0">
        <v>468814947462</v>
      </c>
    </row>
    <row r="33">
      <c r="A33" s="0" t="inlineStr">
        <is>
          <t xml:space="preserve">netDebt</t>
        </is>
      </c>
      <c r="B33" s="0">
        <v>-180838000000</v>
      </c>
      <c r="C33" s="0">
        <v>-180838000000</v>
      </c>
      <c r="D33" s="0">
        <v>-180838000000</v>
      </c>
      <c r="E33" s="0">
        <v>-180838000000</v>
      </c>
      <c r="F33" s="0">
        <v>-180838000000</v>
      </c>
      <c r="G33" s="0">
        <v>-180838000000</v>
      </c>
      <c r="H33" s="0">
        <v>-180838000000</v>
      </c>
      <c r="I33" s="0">
        <v>-180838000000</v>
      </c>
      <c r="J33" s="0">
        <v>-180838000000</v>
      </c>
      <c r="K33" s="0">
        <v>-180838000000</v>
      </c>
    </row>
    <row r="34">
      <c r="A34" s="0" t="inlineStr">
        <is>
          <t xml:space="preserve">equityValue</t>
        </is>
      </c>
      <c r="B34" s="0">
        <v>649659037984</v>
      </c>
      <c r="C34" s="0">
        <v>649652588606</v>
      </c>
      <c r="D34" s="0">
        <v>649644324527</v>
      </c>
      <c r="E34" s="0">
        <v>649647953502</v>
      </c>
      <c r="F34" s="0">
        <v>649660833027</v>
      </c>
      <c r="G34" s="0">
        <v>649652947462</v>
      </c>
      <c r="H34" s="0">
        <v>649652947462</v>
      </c>
      <c r="I34" s="0">
        <v>649652947462</v>
      </c>
      <c r="J34" s="0">
        <v>649652947462</v>
      </c>
      <c r="K34" s="0">
        <v>649652947462</v>
      </c>
    </row>
    <row r="35">
      <c r="A35" s="0" t="inlineStr">
        <is>
          <t xml:space="preserve">equityValuePerShare</t>
        </is>
      </c>
      <c r="B35" s="0">
        <v>512.53</v>
      </c>
      <c r="C35" s="0">
        <v>512.52</v>
      </c>
      <c r="D35" s="0">
        <v>512.51</v>
      </c>
      <c r="E35" s="0">
        <v>512.52</v>
      </c>
      <c r="F35" s="0">
        <v>512.53</v>
      </c>
      <c r="G35" s="0">
        <v>512.52</v>
      </c>
      <c r="H35" s="0">
        <v>512.52</v>
      </c>
      <c r="I35" s="0">
        <v>512.52</v>
      </c>
      <c r="J35" s="0">
        <v>512.52</v>
      </c>
      <c r="K35" s="0">
        <v>512.52</v>
      </c>
    </row>
    <row r="36">
      <c r="A36" s="0" t="inlineStr">
        <is>
          <t xml:space="preserve">freeCashFlowT1</t>
        </is>
      </c>
      <c r="B36" s="0">
        <v>40112312546</v>
      </c>
      <c r="C36" s="0">
        <v>40112312546</v>
      </c>
      <c r="D36" s="0">
        <v>40112312546</v>
      </c>
      <c r="E36" s="0">
        <v>40112312546</v>
      </c>
      <c r="F36" s="0">
        <v>40112312546</v>
      </c>
      <c r="G36" s="0">
        <v>40112312546</v>
      </c>
      <c r="H36" s="0">
        <v>40112312546</v>
      </c>
      <c r="I36" s="0">
        <v>40112312546</v>
      </c>
      <c r="J36" s="0">
        <v>40112312546</v>
      </c>
      <c r="K36" s="0">
        <v>40112312546</v>
      </c>
    </row>
    <row r="37">
      <c r="A37" s="0" t="inlineStr">
        <is>
          <t xml:space="preserve">operatingCashFlowPercentage</t>
        </is>
      </c>
      <c r="B37" s="0">
        <v>63.38</v>
      </c>
      <c r="C37" s="0">
        <v>88.32</v>
      </c>
      <c r="D37" s="0">
        <v>74.46</v>
      </c>
      <c r="E37" s="0">
        <v>73.64</v>
      </c>
      <c r="F37" s="0">
        <v>77.84</v>
      </c>
      <c r="G37" s="0">
        <v>75.53</v>
      </c>
      <c r="H37" s="0">
        <v>75.53</v>
      </c>
      <c r="I37" s="0">
        <v>75.53</v>
      </c>
      <c r="J37" s="0">
        <v>75.53</v>
      </c>
      <c r="K37" s="0">
        <v>75.53</v>
      </c>
    </row>
    <row r="38">
      <c r="A38" s="0" t="inlineStr">
        <is>
          <t xml:space="preserve">Checks below are candidate identities, not a reproduced FMP engine. Residuals do not alter raw vendor outputs.</t>
        </is>
      </c>
    </row>
    <row r="39">
      <c r="A39" s="0" t="inlineStr">
        <is>
          <t xml:space="preserve">EV residual</t>
        </is>
      </c>
      <c r="B39" s="0">
        <f>B32-(B27+B31)</f>
        <v>114907065284</v>
      </c>
      <c r="C39" s="0">
        <f>C32-(C27+C31)</f>
        <v>114907065284</v>
      </c>
      <c r="D39" s="0">
        <f>D32-(D27+D31)</f>
        <v>114907065285</v>
      </c>
      <c r="E39" s="0">
        <f>E32-(E27+E31)</f>
        <v>114907065284</v>
      </c>
      <c r="F39" s="0">
        <f>F32-(F27+F31)</f>
        <v>114907065284</v>
      </c>
      <c r="G39" s="0">
        <f>G32-(G27+G31)</f>
        <v>114907065284</v>
      </c>
      <c r="H39" s="0">
        <f>H32-(H27+H31)</f>
        <v>114907065284</v>
      </c>
      <c r="I39" s="0">
        <f>I32-(I27+I31)</f>
        <v>114907065284</v>
      </c>
      <c r="J39" s="0">
        <f>J32-(J27+J31)</f>
        <v>114907065284</v>
      </c>
      <c r="K39" s="0">
        <f>K32-(K27+K31)</f>
        <v>0</v>
      </c>
    </row>
    <row r="40">
      <c r="A40" s="0" t="inlineStr">
        <is>
          <t xml:space="preserve">Equity residual</t>
        </is>
      </c>
      <c r="B40" s="0">
        <f>B34-(B32-B33)</f>
        <v>0</v>
      </c>
      <c r="C40" s="0">
        <f>C34-(C32-C33)</f>
        <v>0</v>
      </c>
      <c r="D40" s="0">
        <f>D34-(D32-D33)</f>
        <v>0</v>
      </c>
      <c r="E40" s="0">
        <f>E34-(E32-E33)</f>
        <v>0</v>
      </c>
      <c r="F40" s="0">
        <f>F34-(F32-F33)</f>
        <v>0</v>
      </c>
      <c r="G40" s="0">
        <f>G34-(G32-G33)</f>
        <v>0</v>
      </c>
      <c r="H40" s="0">
        <f>H34-(H32-H33)</f>
        <v>0</v>
      </c>
      <c r="I40" s="0">
        <f>I34-(I32-I33)</f>
        <v>0</v>
      </c>
      <c r="J40" s="0">
        <f>J34-(J32-J33)</f>
        <v>0</v>
      </c>
      <c r="K40" s="0">
        <f>K34-(K32-K33)</f>
        <v>0</v>
      </c>
    </row>
    <row r="41">
      <c r="A41" s="0" t="inlineStr">
        <is>
          <t xml:space="preserve">CFO cash-flow residual</t>
        </is>
      </c>
      <c r="B41" s="0">
        <f>B29-(B25+B8)</f>
        <v>0</v>
      </c>
      <c r="C41" s="0">
        <f>C29-(C25+C8)</f>
        <v>0</v>
      </c>
      <c r="D41" s="0">
        <f>D29-(D25+D8)</f>
        <v>0</v>
      </c>
      <c r="E41" s="0">
        <f>E29-(E25+E8)</f>
        <v>0</v>
      </c>
      <c r="F41" s="0">
        <f>F29-(F25+F8)</f>
        <v>0</v>
      </c>
      <c r="G41" s="0">
        <f>G29-(G25+G8)</f>
        <v>0</v>
      </c>
      <c r="H41" s="0">
        <f>H29-(H25+H8)</f>
        <v>0</v>
      </c>
      <c r="I41" s="0">
        <f>I29-(I25+I8)</f>
        <v>0</v>
      </c>
      <c r="J41" s="0">
        <f>J29-(J25+J8)</f>
        <v>0</v>
      </c>
      <c r="K41" s="0">
        <f>K29-(K25+K8)</f>
        <v>0</v>
      </c>
    </row>
    <row r="42">
      <c r="A42" s="0" t="inlineStr">
        <is>
          <t xml:space="preserve">Original diluted-price residual</t>
        </is>
      </c>
      <c r="B42" s="0">
        <f>B35-B34/B12</f>
        <v>0.0043697485886314221609323</v>
      </c>
      <c r="C42" s="0">
        <f>C35-C34/C12</f>
        <v>-0.0005422416540703270209630</v>
      </c>
      <c r="D42" s="0">
        <f>D35-D34/D12</f>
        <v>-0.0040225874196490275836171</v>
      </c>
      <c r="E42" s="0">
        <f>E35-E34/E12</f>
        <v>0.0031144604927246277111057</v>
      </c>
      <c r="F42" s="0">
        <f>F35-F34/F12</f>
        <v>0.0029536125986537957846704</v>
      </c>
      <c r="G42" s="0">
        <f>G35-G34/G12</f>
        <v>-0.0008253484636673177843486</v>
      </c>
      <c r="H42" s="0">
        <f>H35-H34/H12</f>
        <v>-0.0008253484636673177843486</v>
      </c>
      <c r="I42" s="0">
        <f>I35-I34/I12</f>
        <v>-0.0008253484636673177843486</v>
      </c>
      <c r="J42" s="0">
        <f>J35-J34/J12</f>
        <v>-0.0008253484636673177843486</v>
      </c>
      <c r="K42" s="0">
        <f>K35-K34/K12</f>
        <v>-0.0008253484636673177843486</v>
      </c>
    </row>
    <row r="43">
      <c r="A43" s="0" t="inlineStr">
        <is>
          <t xml:space="preserve">Site issued-share rebase</t>
        </is>
      </c>
      <c r="B43" s="0">
        <f>B34/1264002000</f>
        <v>513.9699446551508621030662926</v>
      </c>
      <c r="C43" s="0">
        <f>C34/1264002000</f>
        <v>513.9648423072115392222480661</v>
      </c>
      <c r="D43" s="0">
        <f>D34/1264002000</f>
        <v>513.9583042803729740933954218</v>
      </c>
      <c r="E43" s="0">
        <f>E34/1264002000</f>
        <v>513.9611753003555374121243479</v>
      </c>
      <c r="F43" s="0">
        <f>F34/1264002000</f>
        <v>513.9713647818595223741734586</v>
      </c>
      <c r="G43" s="0">
        <f>G34/1264002000</f>
        <v>513.9651262118256141999775317</v>
      </c>
      <c r="H43" s="0">
        <f>H34/1264002000</f>
        <v>513.9651262118256141999775317</v>
      </c>
      <c r="I43" s="0">
        <f>I34/1264002000</f>
        <v>513.9651262118256141999775317</v>
      </c>
      <c r="J43" s="0">
        <f>J34/1264002000</f>
        <v>513.9651262118256141999775317</v>
      </c>
      <c r="K43" s="0">
        <f>K34/1264002000</f>
        <v>513.9651262118256141999775317</v>
      </c>
    </row>
    <row r="44">
      <c r="A44" s="0" t="inlineStr">
        <is>
          <t xml:space="preserve">Website selected native row</t>
        </is>
      </c>
      <c r="B44" s="0" t="inlineStr">
        <is>
          <t xml:space="preserve">2030</t>
        </is>
      </c>
    </row>
    <row r="45">
      <c r="A45" s="0" t="inlineStr">
        <is>
          <t xml:space="preserve">Available row coverage</t>
        </is>
      </c>
      <c r="B45" s="0" t="inlineStr">
        <is>
          <t xml:space="preserve">availableApiRows</t>
        </is>
      </c>
    </row>
    <row r="46">
      <c r="A46" s="0" t="inlineStr">
        <is>
          <t xml:space="preserve">Site issued shares</t>
        </is>
      </c>
      <c r="B46" s="0">
        <v>1264002000</v>
      </c>
    </row>
    <row r="47">
      <c r="A47" s="0" t="inlineStr">
        <is>
          <t xml:space="preserve">Native scalar API overrides (not ten-year arrays)</t>
        </is>
      </c>
      <c r="B47" s="0" t="inlineStr">
        <is>
          <t xml:space="preserve">{}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0388.HK: site-calculated ten-year customLevered scenario</t>
        </is>
      </c>
    </row>
    <row r="2">
      <c r="A2" s="0" t="inlineStr">
        <is>
          <t xml:space="preserve">Amounts: currency units, NOT millions. Numeric assumption cells editable; formula cells recalculate.</t>
        </is>
      </c>
    </row>
    <row r="3">
      <c r="A3" s="0" t="inlineStr">
        <is>
          <t xml:space="preserve">Currency</t>
        </is>
      </c>
      <c r="B3" s="0" t="inlineStr">
        <is>
          <t xml:space="preserve">HKD</t>
        </is>
      </c>
    </row>
    <row r="4">
      <c r="A4" s="0" t="inlineStr">
        <is>
          <t xml:space="preserve">Source captured</t>
        </is>
      </c>
      <c r="B4" s="0" t="inlineStr">
        <is>
          <t xml:space="preserve">2026-10-18T06:55:59.573Z</t>
        </is>
      </c>
    </row>
    <row r="5">
      <c r="A5" s="0" t="inlineStr">
        <is>
          <t xml:space="preserve">Actual baseline FY</t>
        </is>
      </c>
      <c r="B5" s="0">
        <v>2025</v>
      </c>
    </row>
    <row r="6">
      <c r="A6" s="0" t="inlineStr">
        <is>
          <t xml:space="preserve">Base revenue (FMP model basis)</t>
        </is>
      </c>
      <c r="B6" s="0">
        <v>29161000000</v>
      </c>
    </row>
    <row r="7">
      <c r="A7" s="0" t="inlineStr">
        <is>
          <t xml:space="preserve">Opening NWC (FMP model basis)</t>
        </is>
      </c>
      <c r="B7" s="0">
        <v>0</v>
      </c>
    </row>
    <row r="8">
      <c r="A8" s="0" t="inlineStr">
        <is>
          <t xml:space="preserve">Snapshot net debt (subtracted once)</t>
        </is>
      </c>
      <c r="B8" s="0">
        <v>-180838000000</v>
      </c>
    </row>
    <row r="9">
      <c r="A9" s="0" t="inlineStr">
        <is>
          <t xml:space="preserve">Issued common shares (individual shares)</t>
        </is>
      </c>
      <c r="B9" s="0">
        <v>1264002000</v>
      </c>
    </row>
    <row r="10">
      <c r="A10" s="0" t="inlineStr">
        <is>
          <t xml:space="preserve">Terminal growth</t>
        </is>
      </c>
      <c r="B10" s="1">
        <v>0.02</v>
      </c>
    </row>
    <row r="11">
      <c r="A11" s="0" t="inlineStr">
        <is>
          <t xml:space="preserve">Negative CapEx inputs. EBIT is linked to EBITDA less DA. Ke override takes precedence over CAPM.</t>
        </is>
      </c>
    </row>
    <row r="12">
      <c r="A12" s="0" t="inlineStr">
        <is>
          <t xml:space="preserve">Full precision retained. Percent display 2dp. Year-end discounting; no stub-year adjustment.</t>
        </is>
      </c>
    </row>
    <row r="13">
      <c r="A13" s="0" t="inlineStr">
        <is>
          <t xml:space="preserve">Projected fiscal year</t>
        </is>
      </c>
      <c r="B13" s="0">
        <v>2026</v>
      </c>
      <c r="C13" s="0">
        <v>2027</v>
      </c>
      <c r="D13" s="0">
        <v>2028</v>
      </c>
      <c r="E13" s="0">
        <v>2029</v>
      </c>
      <c r="F13" s="0">
        <v>2030</v>
      </c>
      <c r="G13" s="0">
        <v>2031</v>
      </c>
      <c r="H13" s="0">
        <v>2032</v>
      </c>
      <c r="I13" s="0">
        <v>2033</v>
      </c>
      <c r="J13" s="0">
        <v>2034</v>
      </c>
      <c r="K13" s="0">
        <v>2035</v>
      </c>
    </row>
    <row r="14">
      <c r="A14" s="0" t="inlineStr">
        <is>
          <t xml:space="preserve">Year source (not analyst consensus)</t>
        </is>
      </c>
      <c r="B14" s="0" t="inlineStr">
        <is>
          <t xml:space="preserve">FMP model projection</t>
        </is>
      </c>
      <c r="C14" s="0" t="inlineStr">
        <is>
          <t xml:space="preserve">FMP model projection</t>
        </is>
      </c>
      <c r="D14" s="0" t="inlineStr">
        <is>
          <t xml:space="preserve">FMP model projection</t>
        </is>
      </c>
      <c r="E14" s="0" t="inlineStr">
        <is>
          <t xml:space="preserve">FMP model projection</t>
        </is>
      </c>
      <c r="F14" s="0" t="inlineStr">
        <is>
          <t xml:space="preserve">FMP model projection</t>
        </is>
      </c>
      <c r="G14" s="0" t="inlineStr">
        <is>
          <t xml:space="preserve">Standard extension</t>
        </is>
      </c>
      <c r="H14" s="0" t="inlineStr">
        <is>
          <t xml:space="preserve">Standard extension</t>
        </is>
      </c>
      <c r="I14" s="0" t="inlineStr">
        <is>
          <t xml:space="preserve">Standard extension</t>
        </is>
      </c>
      <c r="J14" s="0" t="inlineStr">
        <is>
          <t xml:space="preserve">Standard extension</t>
        </is>
      </c>
      <c r="K14" s="0" t="inlineStr">
        <is>
          <t xml:space="preserve">Standard extension</t>
        </is>
      </c>
    </row>
    <row r="15">
      <c r="A15" s="0" t="inlineStr">
        <is>
          <t xml:space="preserve">growth</t>
        </is>
      </c>
      <c r="B15" s="1">
        <v>0.14649820445115047</v>
      </c>
      <c r="C15" s="1">
        <v>0.14649820445521788</v>
      </c>
      <c r="D15" s="1">
        <v>0.14649820445157658</v>
      </c>
      <c r="E15" s="1">
        <v>0.14649820445060069</v>
      </c>
      <c r="F15" s="1">
        <v>0.1464982044409604</v>
      </c>
      <c r="G15" s="1">
        <v>0.12119856355276832</v>
      </c>
      <c r="H15" s="1">
        <v>0.09589892266457625</v>
      </c>
      <c r="I15" s="1">
        <v>0.07059928177638415</v>
      </c>
      <c r="J15" s="1">
        <v>0.04529964088819208</v>
      </c>
      <c r="K15" s="1">
        <v>0.02</v>
      </c>
    </row>
    <row r="16">
      <c r="A16" s="0" t="inlineStr">
        <is>
          <t xml:space="preserve">capex</t>
        </is>
      </c>
      <c r="B16" s="1">
        <v>-0.0744829323767741</v>
      </c>
      <c r="C16" s="1">
        <v>-0.074482932391694625</v>
      </c>
      <c r="D16" s="1">
        <v>-0.07448293237356292</v>
      </c>
      <c r="E16" s="1">
        <v>-0.07448293237976442</v>
      </c>
      <c r="F16" s="1">
        <v>-0.07448293237919633</v>
      </c>
      <c r="G16" s="1">
        <v>-0.07448293237919633</v>
      </c>
      <c r="H16" s="1">
        <v>-0.07448293237919633</v>
      </c>
      <c r="I16" s="1">
        <v>-0.07448293237919633</v>
      </c>
      <c r="J16" s="1">
        <v>-0.07448293237919633</v>
      </c>
      <c r="K16" s="1">
        <v>-0.07448293237919633</v>
      </c>
    </row>
    <row r="17">
      <c r="A17" s="0" t="inlineStr">
        <is>
          <t xml:space="preserve">tax</t>
        </is>
      </c>
      <c r="B17" s="1">
        <v>0.13670383559121092</v>
      </c>
      <c r="C17" s="1">
        <v>0.13670383557601784</v>
      </c>
      <c r="D17" s="1">
        <v>0.13670383557296727</v>
      </c>
      <c r="E17" s="1">
        <v>0.13670383556244426</v>
      </c>
      <c r="F17" s="1">
        <v>0.13670383556918708</v>
      </c>
      <c r="G17" s="1">
        <v>0.13670383556918708</v>
      </c>
      <c r="H17" s="1">
        <v>0.13670383556918708</v>
      </c>
      <c r="I17" s="1">
        <v>0.13670383556918708</v>
      </c>
      <c r="J17" s="1">
        <v>0.13670383556918708</v>
      </c>
      <c r="K17" s="1">
        <v>0.13670383556918708</v>
      </c>
    </row>
    <row r="18">
      <c r="A18" s="0" t="inlineStr">
        <is>
          <t xml:space="preserve">beta</t>
        </is>
      </c>
      <c r="B18" s="0">
        <v>0.933</v>
      </c>
      <c r="C18" s="0">
        <v>0.933</v>
      </c>
      <c r="D18" s="0">
        <v>0.933</v>
      </c>
      <c r="E18" s="0">
        <v>0.933</v>
      </c>
      <c r="F18" s="0">
        <v>0.933</v>
      </c>
      <c r="G18" s="0">
        <v>0.933</v>
      </c>
      <c r="H18" s="0">
        <v>0.933</v>
      </c>
      <c r="I18" s="0">
        <v>0.933</v>
      </c>
      <c r="J18" s="0">
        <v>0.933</v>
      </c>
      <c r="K18" s="0">
        <v>0.933</v>
      </c>
    </row>
    <row r="19">
      <c r="A19" s="0" t="inlineStr">
        <is>
          <t xml:space="preserve">rf</t>
        </is>
      </c>
      <c r="B19" s="1">
        <v>0.0489</v>
      </c>
      <c r="C19" s="1">
        <v>0.0489</v>
      </c>
      <c r="D19" s="1">
        <v>0.0489</v>
      </c>
      <c r="E19" s="1">
        <v>0.0489</v>
      </c>
      <c r="F19" s="1">
        <v>0.0489</v>
      </c>
      <c r="G19" s="1">
        <v>0.0489</v>
      </c>
      <c r="H19" s="1">
        <v>0.0489</v>
      </c>
      <c r="I19" s="1">
        <v>0.0489</v>
      </c>
      <c r="J19" s="1">
        <v>0.0489</v>
      </c>
      <c r="K19" s="1">
        <v>0.0489</v>
      </c>
    </row>
    <row r="20">
      <c r="A20" s="0" t="inlineStr">
        <is>
          <t xml:space="preserve">erp</t>
        </is>
      </c>
      <c r="B20" s="1">
        <v>0.0472</v>
      </c>
      <c r="C20" s="1">
        <v>0.0472</v>
      </c>
      <c r="D20" s="1">
        <v>0.0472</v>
      </c>
      <c r="E20" s="1">
        <v>0.0472</v>
      </c>
      <c r="F20" s="1">
        <v>0.0472</v>
      </c>
      <c r="G20" s="1">
        <v>0.0472</v>
      </c>
      <c r="H20" s="1">
        <v>0.0472</v>
      </c>
      <c r="I20" s="1">
        <v>0.0472</v>
      </c>
      <c r="J20" s="1">
        <v>0.0472</v>
      </c>
      <c r="K20" s="1">
        <v>0.0472</v>
      </c>
    </row>
    <row r="21">
      <c r="A21" s="0" t="inlineStr">
        <is>
          <t xml:space="preserve">kd</t>
        </is>
      </c>
      <c r="B21" s="1">
        <v>0.0509</v>
      </c>
      <c r="C21" s="1">
        <v>0.0509</v>
      </c>
      <c r="D21" s="1">
        <v>0.0509</v>
      </c>
      <c r="E21" s="1">
        <v>0.0509</v>
      </c>
      <c r="F21" s="1">
        <v>0.0509</v>
      </c>
      <c r="G21" s="1">
        <v>0.0509</v>
      </c>
      <c r="H21" s="1">
        <v>0.0509</v>
      </c>
      <c r="I21" s="1">
        <v>0.0509</v>
      </c>
      <c r="J21" s="1">
        <v>0.0509</v>
      </c>
      <c r="K21" s="1">
        <v>0.0509</v>
      </c>
    </row>
    <row r="22">
      <c r="A22" s="0" t="inlineStr">
        <is>
          <t xml:space="preserve">ke</t>
        </is>
      </c>
      <c r="B22" s="1">
        <f>IF(ISNUMBER(B26),B26,IF(AND(B19=0.0489,B18=0.933,B20=0.0472),0.0929,B19+B18*B20))</f>
        <v>0.0929</v>
      </c>
      <c r="C22" s="1">
        <f>IF(ISNUMBER(C26),C26,IF(AND(C19=0.0489,C18=0.933,C20=0.0472),0.0929,C19+C18*C20))</f>
        <v>0.0929</v>
      </c>
      <c r="D22" s="1">
        <f>IF(ISNUMBER(D26),D26,IF(AND(D19=0.0489,D18=0.933,D20=0.0472),0.0929,D19+D18*D20))</f>
        <v>0.0929</v>
      </c>
      <c r="E22" s="1">
        <f>IF(ISNUMBER(E26),E26,IF(AND(E19=0.0489,E18=0.933,E20=0.0472),0.0929,E19+E18*E20))</f>
        <v>0.0929</v>
      </c>
      <c r="F22" s="1">
        <f>IF(ISNUMBER(F26),F26,IF(AND(F19=0.0489,F18=0.933,F20=0.0472),0.0929,F19+F18*F20))</f>
        <v>0.0929</v>
      </c>
      <c r="G22" s="1">
        <f>IF(ISNUMBER(G26),G26,IF(AND(G19=0.0489,G18=0.933,G20=0.0472),0.0929,G19+G18*G20))</f>
        <v>0.0929</v>
      </c>
      <c r="H22" s="1">
        <f>IF(ISNUMBER(H26),H26,IF(AND(H19=0.0489,H18=0.933,H20=0.0472),0.0929,H19+H18*H20))</f>
        <v>0.0929</v>
      </c>
      <c r="I22" s="1">
        <f>IF(ISNUMBER(I26),I26,IF(AND(I19=0.0489,I18=0.933,I20=0.0472),0.0929,I19+I18*I20))</f>
        <v>0.0929</v>
      </c>
      <c r="J22" s="1">
        <f>IF(ISNUMBER(J26),J26,IF(AND(J19=0.0489,J18=0.933,J20=0.0472),0.0929,J19+J18*J20))</f>
        <v>0.0929</v>
      </c>
      <c r="K22" s="1">
        <f>IF(ISNUMBER(K26),K26,IF(AND(K19=0.0489,K18=0.933,K20=0.0472),0.0929,K19+K18*K20))</f>
        <v>0.0929</v>
      </c>
    </row>
    <row r="23">
      <c r="A23" s="0" t="inlineStr">
        <is>
          <t xml:space="preserve">debtWeight</t>
        </is>
      </c>
      <c r="B23" s="1">
        <v>0.0039562</v>
      </c>
      <c r="C23" s="1">
        <v>0.0039562</v>
      </c>
      <c r="D23" s="1">
        <v>0.0039562</v>
      </c>
      <c r="E23" s="1">
        <v>0.0039562</v>
      </c>
      <c r="F23" s="1">
        <v>0.0039562</v>
      </c>
      <c r="G23" s="1">
        <v>0.0039562</v>
      </c>
      <c r="H23" s="1">
        <v>0.0039562</v>
      </c>
      <c r="I23" s="1">
        <v>0.0039562</v>
      </c>
      <c r="J23" s="1">
        <v>0.0039562</v>
      </c>
      <c r="K23" s="1">
        <v>0.0039562</v>
      </c>
    </row>
    <row r="24">
      <c r="A24" s="0" t="inlineStr">
        <is>
          <t xml:space="preserve">cfo</t>
        </is>
      </c>
      <c r="B24" s="1">
        <v>0.7552651783940063</v>
      </c>
      <c r="C24" s="1">
        <v>0.7552651784092119</v>
      </c>
      <c r="D24" s="1">
        <v>0.755265178412832</v>
      </c>
      <c r="E24" s="1">
        <v>0.7552651784050789</v>
      </c>
      <c r="F24" s="1">
        <v>0.7552651783990217</v>
      </c>
      <c r="G24" s="1">
        <v>0.7552651783990217</v>
      </c>
      <c r="H24" s="1">
        <v>0.7552651783990217</v>
      </c>
      <c r="I24" s="1">
        <v>0.7552651783990217</v>
      </c>
      <c r="J24" s="1">
        <v>0.7552651783990217</v>
      </c>
      <c r="K24" s="1">
        <v>0.7552651783990217</v>
      </c>
    </row>
    <row r="25">
      <c r="A25" s="0" t="inlineStr">
        <is>
          <t xml:space="preserve">Per-field input provenance</t>
        </is>
      </c>
      <c r="B25" s="0" t="inlineStr">
        <is>
          <t xml:space="preserve">{"growth": "fmp", "capex": "fmp", "tax": "derived-fmp", "beta": "fmp", "rf": "fmp", "erp": "fmp", "kd": "fmp", "ke": "fmp", "debtWeight": "fmp", "cfo": "fmp"}</t>
        </is>
      </c>
      <c r="C25" s="0" t="inlineStr">
        <is>
          <t xml:space="preserve">{"growth": "fmp", "capex": "fmp", "tax": "derived-fmp", "beta": "fmp", "rf": "fmp", "erp": "fmp", "kd": "fmp", "ke": "fmp", "debtWeight": "fmp", "cfo": "fmp"}</t>
        </is>
      </c>
      <c r="D25" s="0" t="inlineStr">
        <is>
          <t xml:space="preserve">{"growth": "fmp", "capex": "fmp", "tax": "derived-fmp", "beta": "fmp", "rf": "fmp", "erp": "fmp", "kd": "fmp", "ke": "fmp", "debtWeight": "fmp", "cfo": "fmp"}</t>
        </is>
      </c>
      <c r="E25" s="0" t="inlineStr">
        <is>
          <t xml:space="preserve">{"growth": "fmp", "capex": "fmp", "tax": "derived-fmp", "beta": "fmp", "rf": "fmp", "erp": "fmp", "kd": "fmp", "ke": "fmp", "debtWeight": "fmp", "cfo": "fmp"}</t>
        </is>
      </c>
      <c r="F25" s="0" t="inlineStr">
        <is>
          <t xml:space="preserve">{"growth": "fmp", "capex": "fmp", "tax": "derived-fmp", "beta": "fmp", "rf": "fmp", "erp": "fmp", "kd": "fmp", "ke": "fmp", "debtWeight": "fmp", "cfo": "fmp"}</t>
        </is>
      </c>
      <c r="G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H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I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J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  <c r="K25" s="0" t="inlineStr">
        <is>
          <t xml:space="preserve">{"growth": "extension", "capex": "extension", "tax": "extension", "beta": "extension", "rf": "extension", "erp": "extension", "kd": "extension", "ke": "extension", "debtWeight": "extension", "cfo": "extension"}</t>
        </is>
      </c>
    </row>
    <row r="26">
      <c r="A26" s="0" t="inlineStr">
        <is>
          <t xml:space="preserve">ke override (blank = initial Ke / changed CAPM)</t>
        </is>
      </c>
    </row>
    <row r="27">
      <c r="A27" s="0" t="inlineStr">
        <is>
          <t xml:space="preserve">Calculated outputs</t>
        </is>
      </c>
    </row>
    <row r="28">
      <c r="A28" s="0" t="inlineStr">
        <is>
          <t xml:space="preserve">revenue</t>
        </is>
      </c>
      <c r="B28" s="0">
        <f>$B$6*(1+B15)</f>
        <v>33433034139.99999885567000000</v>
      </c>
      <c r="C28" s="0">
        <f>B28*(1+C15)</f>
        <v>38330913610.9999981712061328957605233796000000</v>
      </c>
      <c r="D28" s="0">
        <f>C28*(1+D15)</f>
        <v>43946323629.999995424021945432934279236904443885170</v>
      </c>
      <c r="E28" s="0">
        <f>D28*(1+E15)</f>
        <v>50384381133.999999024290681533506284782367970382768</v>
      </c>
      <c r="F28" s="0">
        <f>E28*(1+F15)</f>
        <v>57765602501.999999075952111921851749970984953651116</v>
      </c>
      <c r="G28" s="0">
        <f>F28*(1+G15)</f>
        <v>64766710548.002598638777171872810951673997584848774</v>
      </c>
      <c r="H28" s="0">
        <f>G28*(1+H15)</f>
        <v>70977768314.084494722261582047235880518166227888811</v>
      </c>
      <c r="I28" s="0">
        <f>H28*(1+I15)</f>
        <v>75988747779.149456544328967896815786175549159961841</v>
      </c>
      <c r="J28" s="0">
        <f>I28*(1+J15)</f>
        <v>79431010765.088330378540850623090256636144552210511</v>
      </c>
      <c r="K28" s="0">
        <f>J28*(1+K15)</f>
        <v>81019630980.390096986111667635552061768867443254721</v>
      </c>
    </row>
    <row r="29">
      <c r="A29" s="0" t="inlineStr">
        <is>
          <t xml:space="preserve">ebitda</t>
        </is>
      </c>
    </row>
    <row r="30">
      <c r="A30" s="0" t="inlineStr">
        <is>
          <t xml:space="preserve">da</t>
        </is>
      </c>
    </row>
    <row r="31">
      <c r="A31" s="0" t="inlineStr">
        <is>
          <t xml:space="preserve">ebit</t>
        </is>
      </c>
    </row>
    <row r="32">
      <c r="A32" s="0" t="inlineStr">
        <is>
          <t xml:space="preserve">nopat</t>
        </is>
      </c>
    </row>
    <row r="33">
      <c r="A33" s="0" t="inlineStr">
        <is>
          <t xml:space="preserve">cfo</t>
        </is>
      </c>
      <c r="B33" s="0">
        <f>B28*B24</f>
        <v>25250806494.0000021350024804083867707210000</v>
      </c>
      <c r="C33" s="0">
        <f>C28*C24</f>
        <v>28950004307.000002364268844587844014069593421285961</v>
      </c>
      <c r="D33" s="0">
        <f>D28*D24</f>
        <v>33191127957.000001360743278204201223247131463345854</v>
      </c>
      <c r="E33" s="0">
        <f>E28*E24</f>
        <v>38053568606.000000802022200116905679696116875395368</v>
      </c>
      <c r="F33" s="0">
        <f>F28*F24</f>
        <v>43628348079.000003569971100361418124849094998276029</v>
      </c>
      <c r="G33" s="0">
        <f>G28*G24</f>
        <v>48916041196.354983151650526930117709818292393607956</v>
      </c>
      <c r="H33" s="0">
        <f>H28*H24</f>
        <v>53607036848.101455588341083355185056020717089685387</v>
      </c>
      <c r="I33" s="0">
        <f>I28*I24</f>
        <v>57391655147.737578305263323533539130508518935132934</v>
      </c>
      <c r="J33" s="0">
        <f>J28*J24</f>
        <v>59991476515.909050977275309163926687323434929915393</v>
      </c>
      <c r="K33" s="0">
        <f>K28*K24</f>
        <v>61191306046.2272319968208153472052210699036285137</v>
      </c>
    </row>
    <row r="34">
      <c r="A34" s="0" t="inlineStr">
        <is>
          <t xml:space="preserve">capex</t>
        </is>
      </c>
      <c r="B34" s="0">
        <f>B28*B16</f>
        <v>-2490190420.9999997431347199932860941470000</v>
      </c>
      <c r="C34" s="0">
        <f>C28*C16</f>
        <v>-2854998847.0000001485541109131291661734722392821762</v>
      </c>
      <c r="D34" s="0">
        <f>D28*D16</f>
        <v>-3273251050.9999997976555356187732305608789591042303</v>
      </c>
      <c r="E34" s="0">
        <f>E28*E16</f>
        <v>-3752776453.0000000937387610903541209149944731437285</v>
      </c>
      <c r="F34" s="0">
        <f>F28*F16</f>
        <v>-4302551465.0000002641714212971361053036853046688943</v>
      </c>
      <c r="G34" s="0">
        <f>G28*G16</f>
        <v>-4824014522.1698592362102068900421900243387879390427</v>
      </c>
      <c r="H34" s="0">
        <f>H28*H16</f>
        <v>-5286632317.7642193189436960104226520889004324533459</v>
      </c>
      <c r="I34" s="0">
        <f>I28*I16</f>
        <v>-5659864762.4141942687773339445927401574003329479279</v>
      </c>
      <c r="J34" s="0">
        <f>J28*J16</f>
        <v>-5916254603.6272898558903794415519905262465419996501</v>
      </c>
      <c r="K34" s="0">
        <f>K28*K16</f>
        <v>-6034579695.6998356530081870303830303367714728396431</v>
      </c>
    </row>
    <row r="35">
      <c r="A35" s="0" t="inlineStr">
        <is>
          <t xml:space="preserve">nwc</t>
        </is>
      </c>
    </row>
    <row r="36">
      <c r="A36" s="0" t="inlineStr">
        <is>
          <t xml:space="preserve">changeNwc</t>
        </is>
      </c>
    </row>
    <row r="37">
      <c r="A37" s="0" t="inlineStr">
        <is>
          <t xml:space="preserve">projectedCash</t>
        </is>
      </c>
    </row>
    <row r="38">
      <c r="A38" s="0" t="inlineStr">
        <is>
          <t xml:space="preserve">wacc</t>
        </is>
      </c>
      <c r="B38" s="1">
        <f>B22*(1-B23)+B21*(1-B17)*B23</f>
        <v>0.0927063114693387732141372664</v>
      </c>
      <c r="C38" s="1">
        <f>C22*(1-C23)+C21*(1-C17)*C23</f>
        <v>0.0927063114693418326534688528</v>
      </c>
      <c r="D38" s="1">
        <f>D22*(1-D23)+D21*(1-D17)*D23</f>
        <v>0.0927063114693424469485190834</v>
      </c>
      <c r="E38" s="1">
        <f>E22*(1-E23)+E21*(1-E17)*E23</f>
        <v>0.0927063114693445659731461292</v>
      </c>
      <c r="F38" s="1">
        <f>F22*(1-F23)+F21*(1-F17)*F23</f>
        <v>0.0927063114693432081675718936</v>
      </c>
      <c r="G38" s="1">
        <f>G22*(1-G23)+G21*(1-G17)*G23</f>
        <v>0.0927063114693432081675718936</v>
      </c>
      <c r="H38" s="1">
        <f>H22*(1-H23)+H21*(1-H17)*H23</f>
        <v>0.0927063114693432081675718936</v>
      </c>
      <c r="I38" s="1">
        <f>I22*(1-I23)+I21*(1-I17)*I23</f>
        <v>0.0927063114693432081675718936</v>
      </c>
      <c r="J38" s="1">
        <f>J22*(1-J23)+J21*(1-J17)*J23</f>
        <v>0.0927063114693432081675718936</v>
      </c>
      <c r="K38" s="1">
        <f>K22*(1-K23)+K21*(1-K17)*K23</f>
        <v>0.0927063114693432081675718936</v>
      </c>
    </row>
    <row r="39">
      <c r="A39" s="0" t="inlineStr">
        <is>
          <t xml:space="preserve">discount</t>
        </is>
      </c>
      <c r="B39" s="0">
        <f>(1+B38)*1</f>
        <v>1.0927063114693387732141372664</v>
      </c>
      <c r="C39" s="0">
        <f>(1+C38)*B39</f>
        <v>1.1940070831249309432651171568677122538184496930161</v>
      </c>
      <c r="D39" s="0">
        <f>(1+D38)*C39</f>
        <v>1.3046990756697118492126953800156305907544379242518</v>
      </c>
      <c r="E39" s="0">
        <f>(1+E38)*D39</f>
        <v>1.4256529145525141105819584698664989145136869804670</v>
      </c>
      <c r="F39" s="0">
        <f>(1+F38)*E39</f>
        <v>1.5578199376961964221989841183967536126846077704933</v>
      </c>
      <c r="G39" s="0">
        <f>(1+G38)*F39</f>
        <v>1.7022396780534128385381902390014831509473335654567</v>
      </c>
      <c r="H39" s="0">
        <f>(1+H38)*G39</f>
        <v>1.8600480398425070353268279918758839659839554286868</v>
      </c>
      <c r="I39" s="0">
        <f>(1+I38)*H39</f>
        <v>2.0324862327720877979290107332804750661866414015796</v>
      </c>
      <c r="J39" s="0">
        <f>(1+J38)*I39</f>
        <v>2.2209105345246089704887967449215196212489947816785</v>
      </c>
      <c r="K39" s="0">
        <f>(1+K38)*J39</f>
        <v>2.4268029582837928821872578709132677831548842157501</v>
      </c>
    </row>
    <row r="40">
      <c r="A40" s="0" t="inlineStr">
        <is>
          <t xml:space="preserve">cashFlow</t>
        </is>
      </c>
      <c r="B40" s="0">
        <f>B33+B34</f>
        <v>22760616073.0000023918677604151006765740000</v>
      </c>
      <c r="C40" s="0">
        <f>C33+C34</f>
        <v>26095005460.000002215714733674714847896121182003785</v>
      </c>
      <c r="D40" s="0">
        <f>D33+D34</f>
        <v>29917876906.000001563087742585427992686252504241624</v>
      </c>
      <c r="E40" s="0">
        <f>E33+E34</f>
        <v>34300792153.000000708283439026551558781122402251640</v>
      </c>
      <c r="F40" s="0">
        <f>F33+F34</f>
        <v>39325796614.000003305799679064282019545409693607135</v>
      </c>
      <c r="G40" s="0">
        <f>G33+G34</f>
        <v>44092026674.185123915440320040075519793953605668913</v>
      </c>
      <c r="H40" s="0">
        <f>H33+H34</f>
        <v>48320404530.337236269397387344762403931816657232041</v>
      </c>
      <c r="I40" s="0">
        <f>I33+I34</f>
        <v>51731790385.323384036485989588946390351118602185006</v>
      </c>
      <c r="J40" s="0">
        <f>J33+J34</f>
        <v>54075221912.281761121384929722374696797188387915743</v>
      </c>
      <c r="K40" s="0">
        <f>K33+K34</f>
        <v>55156726350.527396343812628316822190733132155674057</v>
      </c>
    </row>
    <row r="41">
      <c r="A41" s="0" t="inlineStr">
        <is>
          <t xml:space="preserve">pv</t>
        </is>
      </c>
      <c r="B41" s="0">
        <f>B40/B39</f>
        <v>20829582326.100312764069836078700040449412988467524</v>
      </c>
      <c r="C41" s="0">
        <f>C40/C39</f>
        <v>21854983801.021252798053370535069087242859994560698</v>
      </c>
      <c r="D41" s="0">
        <f>D40/D39</f>
        <v>22930863878.050139884765522717845459057036452956383</v>
      </c>
      <c r="E41" s="0">
        <f>E40/E39</f>
        <v>24059707522.687161431722705155105128828622218398718</v>
      </c>
      <c r="F41" s="0">
        <f>F40/F39</f>
        <v>25244122033.870937591078082431794097763810082671111</v>
      </c>
      <c r="G41" s="0">
        <f>G40/G39</f>
        <v>25902361014.523129503043861377767458472872268832338</v>
      </c>
      <c r="H41" s="0">
        <f>H40/H39</f>
        <v>25978041155.554560293715505455951538007073832678977</v>
      </c>
      <c r="I41" s="0">
        <f>I40/I39</f>
        <v>25452467795.940201096555058194197956046078544375563</v>
      </c>
      <c r="J41" s="0">
        <f>J40/J39</f>
        <v>24348221628.772942566213836726334399968828358853450</v>
      </c>
      <c r="K41" s="0">
        <f>K40/K39</f>
        <v>22728143693.023020840739999684109589362361501875957</v>
      </c>
    </row>
    <row r="42">
      <c r="A42" s="0" t="inlineStr">
        <is>
          <t xml:space="preserve">Valuation bridge</t>
        </is>
      </c>
    </row>
    <row r="43">
      <c r="A43" s="0" t="inlineStr">
        <is>
          <t xml:space="preserve">presentFlows</t>
        </is>
      </c>
      <c r="B43" s="0">
        <f>SUM(B41:K41)</f>
        <v>239328494849.54365876995777835687475519895624367072</v>
      </c>
    </row>
    <row r="44">
      <c r="A44" s="0" t="inlineStr">
        <is>
          <t xml:space="preserve">terminalValue</t>
        </is>
      </c>
      <c r="B44" s="0">
        <f>IF(K38&lt;=$B$10,NA(),K40*(1+$B$10)/(K38-$B$10))</f>
        <v>773796108488.60143990892579439408220108571504068975</v>
      </c>
    </row>
    <row r="45">
      <c r="A45" s="0" t="inlineStr">
        <is>
          <t xml:space="preserve">presentTerminalValue</t>
        </is>
      </c>
      <c r="B45" s="0">
        <f>B44/K39</f>
        <v>318854114565.53569593065672320091513472921535856172</v>
      </c>
    </row>
    <row r="46">
      <c r="A46" s="0" t="inlineStr">
        <is>
          <t xml:space="preserve">enterpriseValue</t>
        </is>
      </c>
      <c r="B46" s="0">
        <f>B43+B45</f>
        <v>558182609415.07935470061450155778988992817160223244</v>
      </c>
    </row>
    <row r="47">
      <c r="A47" s="0" t="inlineStr">
        <is>
          <t xml:space="preserve">netDebt</t>
        </is>
      </c>
      <c r="B47" s="0">
        <f>$B$8</f>
        <v>-180838000000</v>
      </c>
    </row>
    <row r="48">
      <c r="A48" s="0" t="inlineStr">
        <is>
          <t xml:space="preserve">equityValue</t>
        </is>
      </c>
      <c r="B48" s="0">
        <f>B46-$B$8</f>
        <v>739020609415.07935470061450155778988992817160223244</v>
      </c>
    </row>
    <row r="49">
      <c r="A49" s="0" t="inlineStr">
        <is>
          <t xml:space="preserve">targetPrice</t>
        </is>
      </c>
      <c r="B49" s="0">
        <f>B48/$B$9</f>
        <v>584.66727854471698201475512029078268066678027584801</v>
      </c>
    </row>
    <row r="50">
      <c r="A50" s="0" t="inlineStr">
        <is>
          <t xml:space="preserve">Interpretation</t>
        </is>
      </c>
      <c r="B50" s="0" t="inlineStr">
        <is>
          <t xml:space="preserve">Negative equity/terminal cash flow is retained for review, not a tradable negative share price.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54" customWidth="1"/>
    <col min="2" max="30" width="22" customWidth="1"/>
  </cols>
  <sheetData>
    <row r="1">
      <c r="A1" s="0" t="inlineStr">
        <is>
          <t xml:space="preserve">Actual annual reference (not TTM)</t>
        </is>
      </c>
    </row>
    <row r="2">
      <c r="A2" s="0" t="inlineStr">
        <is>
          <t xml:space="preserve">Period</t>
        </is>
      </c>
      <c r="B2" s="0" t="inlineStr">
        <is>
          <t xml:space="preserve">2025-12-31</t>
        </is>
      </c>
    </row>
    <row r="3">
      <c r="A3" s="0" t="inlineStr">
        <is>
          <t xml:space="preserve">Currency</t>
        </is>
      </c>
      <c r="B3" s="0" t="inlineStr">
        <is>
          <t xml:space="preserve">HKD</t>
        </is>
      </c>
    </row>
    <row r="4">
      <c r="A4" s="0" t="inlineStr">
        <is>
          <t xml:space="preserve">Status</t>
        </is>
      </c>
      <c r="B4" s="0" t="inlineStr">
        <is>
          <t xml:space="preserve">Available</t>
        </is>
      </c>
    </row>
    <row r="5">
      <c r="A5" s="0" t="inlineStr">
        <is>
          <t xml:space="preserve">Field</t>
        </is>
      </c>
      <c r="B5" s="0" t="inlineStr">
        <is>
          <t xml:space="preserve">Amount (currency units)</t>
        </is>
      </c>
      <c r="C5" s="0" t="inlineStr">
        <is>
          <t xml:space="preserve">Ratio</t>
        </is>
      </c>
      <c r="D5" s="0" t="inlineStr">
        <is>
          <t xml:space="preserve">Source</t>
        </is>
      </c>
      <c r="E5" s="0" t="inlineStr">
        <is>
          <t xml:space="preserve">Basis</t>
        </is>
      </c>
      <c r="F5" s="0" t="inlineStr">
        <is>
          <t xml:space="preserve">Provenance</t>
        </is>
      </c>
    </row>
    <row r="6">
      <c r="A6" s="0" t="inlineStr">
        <is>
          <t xml:space="preserve">growth</t>
        </is>
      </c>
      <c r="B6" s="0">
        <v>29161000000</v>
      </c>
      <c r="C6" s="1">
        <v>0.6811368615242708</v>
      </c>
      <c r="D6" s="0" t="inlineStr">
        <is>
          <t xml:space="preserve">fmpStandardizedActual</t>
        </is>
      </c>
      <c r="E6" s="0" t="inlineStr">
        <is>
          <t xml:space="preserve">annualRevenueGrowth</t>
        </is>
      </c>
      <c r="F6" s="0" t="inlineStr">
        <is>
          <t xml:space="preserve">{"date": "2025-12-31", "currencyConversion": {"rate": 1, "basis": "average", "start": "2025-01-01", "end": "2025-12-31", "observationDate": "2025-12-31", "reason": null, "sourceCurrency": "HKD", "target": "HKD"}, "documents": []}</t>
        </is>
      </c>
    </row>
    <row r="7">
      <c r="A7" s="0" t="inlineStr">
        <is>
          <t xml:space="preserve">ebitda</t>
        </is>
      </c>
      <c r="B7" s="0">
        <v>22822000000</v>
      </c>
      <c r="C7" s="1">
        <v>0.7826206234354103</v>
      </c>
      <c r="D7" s="0" t="inlineStr">
        <is>
          <t xml:space="preserve">fmpStandardizedActual</t>
        </is>
      </c>
      <c r="E7" s="0" t="inlineStr">
        <is>
          <t xml:space="preserve">revenueRatio</t>
        </is>
      </c>
      <c r="F7" s="0" t="inlineStr">
        <is>
          <t xml:space="preserve">{"date": "2025-12-31", "currencyConversion": {"rate": 1, "basis": "average", "start": "2025-01-01", "end": "2025-12-31", "observationDate": "2025-12-31", "reason": null, "sourceCurrency": "HKD", "target": "HKD"}, "documents": []}</t>
        </is>
      </c>
    </row>
    <row r="8">
      <c r="A8" s="0" t="inlineStr">
        <is>
          <t xml:space="preserve">ebit</t>
        </is>
      </c>
      <c r="B8" s="0">
        <v>21254000000</v>
      </c>
      <c r="C8" s="1">
        <v>0.7288501766057406</v>
      </c>
      <c r="D8" s="0" t="inlineStr">
        <is>
          <t xml:space="preserve">fmpStandardizedActual</t>
        </is>
      </c>
      <c r="E8" s="0" t="inlineStr">
        <is>
          <t xml:space="preserve">revenueRatio</t>
        </is>
      </c>
      <c r="F8" s="0" t="inlineStr">
        <is>
          <t xml:space="preserve">{"date": "2025-12-31", "currencyConversion": {"rate": 1, "basis": "average", "start": "2025-01-01", "end": "2025-12-31", "observationDate": "2025-12-31", "reason": null, "sourceCurrency": "HKD", "target": "HKD"}, "documents": []}</t>
        </is>
      </c>
    </row>
    <row r="9">
      <c r="A9" s="0" t="inlineStr">
        <is>
          <t xml:space="preserve">da</t>
        </is>
      </c>
      <c r="B9" s="0">
        <v>1568000000</v>
      </c>
      <c r="C9" s="1">
        <v>0.05377044682966976</v>
      </c>
      <c r="D9" s="0" t="inlineStr">
        <is>
          <t xml:space="preserve">fmpStandardizedActual</t>
        </is>
      </c>
      <c r="E9" s="0" t="inlineStr">
        <is>
          <t xml:space="preserve">revenueRatio</t>
        </is>
      </c>
      <c r="F9" s="0" t="inlineStr">
        <is>
          <t xml:space="preserve">{"date": "2025-12-31", "currencyConversion": {"rate": 1, "basis": "average", "start": "2025-01-01", "end": "2025-12-31", "observationDate": "2025-12-31", "reason": null, "sourceCurrency": "HKD", "target": "HKD"}, "documents": []}</t>
        </is>
      </c>
    </row>
    <row r="10">
      <c r="A10" s="0" t="inlineStr">
        <is>
          <t xml:space="preserve">cash</t>
        </is>
      </c>
      <c r="B10" s="0">
        <v>318256000000</v>
      </c>
      <c r="C10" s="1">
        <v>10.91375467233634</v>
      </c>
      <c r="D10" s="0" t="inlineStr">
        <is>
          <t xml:space="preserve">officialBalance</t>
        </is>
      </c>
      <c r="E10" s="0" t="inlineStr">
        <is>
          <t xml:space="preserve">closingBalanceRevenueRatio</t>
        </is>
      </c>
      <c r="F10" s="0" t="inlineStr">
        <is>
          <t xml:space="preserve">{"date": "2025-12-31", "currencyConversion": {"rate": 1, "basis": "closing", "start": "2025-01-01", "end": "2025-12-31", "observationDate": "2025-12-31", "reason": null, "sourceCurrency": "HKD", "target": "HKD"}, "documents": [{"url": "https://www1.hkexnews.hk/listedco/listconews/sehk/2026/0831/2026083100411.pdf", "sha256": "152c64437b0e5421260723485c64c16a0fe6b3557228a6919e7674d861696f73", "pdfPage": 58, "printedPage": 56, "title": "HKEX Interim Report 2026: Condensed Consolidated Statement of Financial Position", "basis": "Current/non-current columns, including the 31 December 2025 comparative column. Not a point-in-time historical vendor snapshot."}]}</t>
        </is>
      </c>
    </row>
    <row r="11">
      <c r="A11" s="0" t="inlineStr">
        <is>
          <t xml:space="preserve">receivables</t>
        </is>
      </c>
      <c r="D11" s="0" t="inlineStr">
        <is>
          <t xml:space="preserve">officialBalance</t>
        </is>
      </c>
      <c r="E11" s="0" t="inlineStr">
        <is>
          <t xml:space="preserve">closingBalanceRevenueRatio</t>
        </is>
      </c>
      <c r="F11" s="0" t="inlineStr">
        <is>
          <t xml:space="preserve">{"date": "2025-12-31", "currencyConversion": {"rate": 1, "basis": "closing", "start": "2025-01-01", "end": "2025-12-31", "observationDate": "2025-12-31", "reason": null, "sourceCurrency": "HKD", "target": "HKD"}, "documents": [{"url": "https://www1.hkexnews.hk/listedco/listconews/sehk/2026/0831/2026083100411.pdf", "sha256": "152c64437b0e5421260723485c64c16a0fe6b3557228a6919e7674d861696f73", "pdfPage": 58, "printedPage": 56, "title": "HKEX Interim Report 2026: Condensed Consolidated Statement of Financial Position", "basis": "Current/non-current columns, including the 31 December 2025 comparative column. Not a point-in-time historical vendor snapshot."}]}</t>
        </is>
      </c>
    </row>
    <row r="12">
      <c r="A12" s="0" t="inlineStr">
        <is>
          <t xml:space="preserve">inventories</t>
        </is>
      </c>
      <c r="B12" s="0">
        <v>0</v>
      </c>
      <c r="C12" s="1">
        <v>0</v>
      </c>
      <c r="D12" s="0" t="inlineStr">
        <is>
          <t xml:space="preserve">officialBalance</t>
        </is>
      </c>
      <c r="E12" s="0" t="inlineStr">
        <is>
          <t xml:space="preserve">closingBalanceRevenueRatio</t>
        </is>
      </c>
      <c r="F12" s="0" t="inlineStr">
        <is>
          <t xml:space="preserve">{"date": "2025-12-31", "currencyConversion": {"rate": 1, "basis": "closing", "start": "2025-01-01", "end": "2025-12-31", "observationDate": "2025-12-31", "reason": null, "sourceCurrency": "HKD", "target": "HKD"}, "documents": [{"url": "https://www1.hkexnews.hk/listedco/listconews/sehk/2026/0831/2026083100411.pdf", "sha256": "152c64437b0e5421260723485c64c16a0fe6b3557228a6919e7674d861696f73", "pdfPage": 58, "printedPage": 56, "title": "HKEX Interim Report 2026: Condensed Consolidated Statement of Financial Position", "basis": "Current/non-current columns, including the 31 December 2025 comparative column. Not a point-in-time historical vendor snapshot."}]}</t>
        </is>
      </c>
    </row>
    <row r="13">
      <c r="A13" s="0" t="inlineStr">
        <is>
          <t xml:space="preserve">payables</t>
        </is>
      </c>
      <c r="D13" s="0" t="inlineStr">
        <is>
          <t xml:space="preserve">officialBalance</t>
        </is>
      </c>
      <c r="E13" s="0" t="inlineStr">
        <is>
          <t xml:space="preserve">closingBalanceRevenueRatio</t>
        </is>
      </c>
      <c r="F13" s="0" t="inlineStr">
        <is>
          <t xml:space="preserve">{"date": "2025-12-31", "currencyConversion": {"rate": 1, "basis": "closing", "start": "2025-01-01", "end": "2025-12-31", "observationDate": "2025-12-31", "reason": null, "sourceCurrency": "HKD", "target": "HKD"}, "documents": [{"url": "https://www1.hkexnews.hk/listedco/listconews/sehk/2026/0831/2026083100411.pdf", "sha256": "152c64437b0e5421260723485c64c16a0fe6b3557228a6919e7674d861696f73", "pdfPage": 58, "printedPage": 56, "title": "HKEX Interim Report 2026: Condensed Consolidated Statement of Financial Position", "basis": "Current/non-current columns, including the 31 December 2025 comparative column. Not a point-in-time historical vendor snapshot."}]}</t>
        </is>
      </c>
    </row>
    <row r="14">
      <c r="A14" s="0" t="inlineStr">
        <is>
          <t xml:space="preserve">cfo</t>
        </is>
      </c>
      <c r="B14" s="0">
        <v>25627000000</v>
      </c>
      <c r="C14" s="1">
        <v>0.8788107403724152</v>
      </c>
      <c r="D14" s="0" t="inlineStr">
        <is>
          <t xml:space="preserve">officialCashflow</t>
        </is>
      </c>
      <c r="E14" s="0" t="inlineStr">
        <is>
          <t xml:space="preserve">revenueRatio</t>
        </is>
      </c>
      <c r="F14" s="0" t="inlineStr">
        <is>
          <t xml:space="preserve">{"date": "2025-12-31", "sourceIds": ["hkexFY2025"], "sourceBasis": "reportedIFRS", "currencyConversion": {"rate": 1, "basis": "average", "start": "2025-01-01", "end": "2025-12-31", "observationDate": "2025-12-31", "reason": null, "sourceCurrency": "HKD", "target": "HKD"}, "documents": [{"id": "hkexFY2025", "url": "https://www.hkexgroup.com/-/media/HKEX-Group-Site/ssd/Investor-Relations/Regulatory-Reports/documents/2026/260316ar_e.pdf", "sha256": "01f90f3b213f368e1ed66887ec6ec862f5129c74d5c89d3c11cf5b0fda8887ee", "pdfPages": [147, 205, 148, 168]}]}</t>
        </is>
      </c>
    </row>
    <row r="15">
      <c r="A15" s="0" t="inlineStr">
        <is>
          <t xml:space="preserve">capex</t>
        </is>
      </c>
      <c r="B15" s="0">
        <v>-4881000000</v>
      </c>
      <c r="C15" s="1">
        <v>-0.1673810911834299</v>
      </c>
      <c r="D15" s="0" t="inlineStr">
        <is>
          <t xml:space="preserve">officialCashflow</t>
        </is>
      </c>
      <c r="E15" s="0" t="inlineStr">
        <is>
          <t xml:space="preserve">revenueRatio</t>
        </is>
      </c>
      <c r="F15" s="0" t="inlineStr">
        <is>
          <t xml:space="preserve">{"date": "2025-12-31", "sourceIds": ["hkexFY2025"], "sourceBasis": "reportedIFRS", "currencyConversion": {"rate": 1, "basis": "average", "start": "2025-01-01", "end": "2025-12-31", "observationDate": "2025-12-31", "reason": null, "sourceCurrency": "HKD", "target": "HKD"}, "documents": [{"id": "hkexFY2025", "url": "https://www.hkexgroup.com/-/media/HKEX-Group-Site/ssd/Investor-Relations/Regulatory-Reports/documents/2026/260316ar_e.pdf", "sha256": "01f90f3b213f368e1ed66887ec6ec862f5129c74d5c89d3c11cf5b0fda8887ee", "pdfPages": [147, 205, 148, 168]}]}</t>
        </is>
      </c>
    </row>
    <row r="16">
      <c r="A16" s="0" t="inlineStr">
        <is>
          <t xml:space="preserve">tax</t>
        </is>
      </c>
      <c r="B16" s="0">
        <v>3321000000</v>
      </c>
      <c r="C16" s="1">
        <v>0.15696190566216089</v>
      </c>
      <c r="D16" s="0" t="inlineStr">
        <is>
          <t xml:space="preserve">fmpStandardizedActual</t>
        </is>
      </c>
      <c r="E16" s="0" t="inlineStr">
        <is>
          <t xml:space="preserve">historicalEffectiveTaxNotForecastOperatingTax</t>
        </is>
      </c>
      <c r="F16" s="0" t="inlineStr">
        <is>
          <t xml:space="preserve">{"date": "2025-12-31", "currencyConversion": {"rate": 1, "basis": "average", "start": "2025-01-01", "end": "2025-12-31", "observationDate": "2025-12-31", "reason": null, "sourceCurrency": "HKD", "target": "HKD"}, "documents": []}</t>
        </is>
      </c>
    </row>
    <row r="17">
      <c r="A17" s="0" t="inlineStr">
        <is>
          <t xml:space="preserve">Financing parameters</t>
        </is>
      </c>
      <c r="B17" s="0" t="inlineStr">
        <is>
          <t xml:space="preserve">Beta, rf, ERP, Kd, Ke and debt weight are assumptions, not invented financial-statement actuals.</t>
        </is>
      </c>
    </row>
    <row r="18">
      <c r="A18" s="0" t="inlineStr">
        <is>
          <t xml:space="preserve">FX provenance</t>
        </is>
      </c>
      <c r="B18" s="0" t="inlineStr">
        <is>
          <t xml:space="preserve">{"rate": 1, "basis": "average", "start": "2025-01-01", "end": "2025-12-31", "observationDate": "2025-12-31", "reason": null, "sourceCurrency": "HKD", "target": "HKD"}</t>
        </is>
      </c>
    </row>
  </sheetData>
</worksheet>
</file>